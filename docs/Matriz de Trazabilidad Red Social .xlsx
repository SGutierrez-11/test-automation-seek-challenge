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Matriz de Trazabilidad" sheetId="2" r:id="rId6"/>
  </sheets>
  <definedNames/>
  <calcPr/>
</workbook>
</file>

<file path=xl/sharedStrings.xml><?xml version="1.0" encoding="utf-8"?>
<sst xmlns="http://schemas.openxmlformats.org/spreadsheetml/2006/main" count="153" uniqueCount="88">
  <si>
    <t>PANEL DE COBERTURA DE REQUISITOS (REQUIREMENTS COVERAGE)</t>
  </si>
  <si>
    <t>Métrica</t>
  </si>
  <si>
    <t>Valor</t>
  </si>
  <si>
    <t>Interpretación</t>
  </si>
  <si>
    <t>Total de Requisitos Core</t>
  </si>
  <si>
    <t>Definidos por el Stakeholder (PDF).</t>
  </si>
  <si>
    <t>Total de Casos de Prueba (TCs)</t>
  </si>
  <si>
    <t>Volumen total de escenarios diseñados.</t>
  </si>
  <si>
    <t>TCs Automatizados</t>
  </si>
  <si>
    <t>Cobertura de regresión en CI/CD.</t>
  </si>
  <si>
    <t>TCs Manuales (Exploratorios)</t>
  </si>
  <si>
    <t>Cobertura en validación UX/UI compleja.</t>
  </si>
  <si>
    <t>Trazabilidad (Test Coverage)</t>
  </si>
  <si>
    <t>Todos los requisitos tienen al menos 1 TC asociado.</t>
  </si>
  <si>
    <t>ESTADO DE LA EJECUCIÓN (EXECUTION STATUS)</t>
  </si>
  <si>
    <t>Estado</t>
  </si>
  <si>
    <t>Cantidad</t>
  </si>
  <si>
    <t>% de Ejecución</t>
  </si>
  <si>
    <t>Passed (Exitosos)</t>
  </si>
  <si>
    <t>Failed (Fallidos)</t>
  </si>
  <si>
    <t>Blocked (Bloqueados)</t>
  </si>
  <si>
    <t>Req ID</t>
  </si>
  <si>
    <t>Nombre del Requisito (Business Need)</t>
  </si>
  <si>
    <t>Prioridad / Riesgo</t>
  </si>
  <si>
    <t>Módulo / Componente</t>
  </si>
  <si>
    <t>ID Caso de Prueba (Test Case)</t>
  </si>
  <si>
    <t>Título del Escenario</t>
  </si>
  <si>
    <t>Tipo de Prueba</t>
  </si>
  <si>
    <t>Estrategia / Entorno</t>
  </si>
  <si>
    <t>Estado de Ejecución</t>
  </si>
  <si>
    <t>ID Defecto Asociado</t>
  </si>
  <si>
    <t>Evidencia / Trazabilidad</t>
  </si>
  <si>
    <t>REQ-01</t>
  </si>
  <si>
    <t>Crear cuenta a través de formulario de registro</t>
  </si>
  <si>
    <t>Crítica</t>
  </si>
  <si>
    <t>IAM (Identity)</t>
  </si>
  <si>
    <t>TC-AUTO-REG-01</t>
  </si>
  <si>
    <t>Registro exitoso con inyección dinámica de datos (Faker)</t>
  </si>
  <si>
    <t>Automatizada</t>
  </si>
  <si>
    <t>E2E / Automation Exercise</t>
  </si>
  <si>
    <t>✅ Passed</t>
  </si>
  <si>
    <t>N/A</t>
  </si>
  <si>
    <t>Pipeline (Allure Report)</t>
  </si>
  <si>
    <t>TC-MAN-REG-01</t>
  </si>
  <si>
    <t>Validación de UX y A/B Testing en UI nativa</t>
  </si>
  <si>
    <t>Manual</t>
  </si>
  <si>
    <t>Exploratoria / Facebook</t>
  </si>
  <si>
    <t>⚠️ Blocked</t>
  </si>
  <si>
    <t>DEF-003 (Arquitectura)</t>
  </si>
  <si>
    <t>Ver Informe de Pruebas</t>
  </si>
  <si>
    <t>REQ-02</t>
  </si>
  <si>
    <t>Iniciar sesión con correo y contraseña</t>
  </si>
  <si>
    <t>TC-AUTO-LOG-01</t>
  </si>
  <si>
    <t>Login Happy Path con persistencia de sesión</t>
  </si>
  <si>
    <t>TC-MAN-LOG-02</t>
  </si>
  <si>
    <t>Denegación por credenciales inválidas y manejo de estado</t>
  </si>
  <si>
    <t>Carpeta Drive: /Login</t>
  </si>
  <si>
    <t>Media</t>
  </si>
  <si>
    <t>TC-AUTO-LOG-03</t>
  </si>
  <si>
    <t>Edge Case: Formato de correo inválido y validación UI</t>
  </si>
  <si>
    <t>DEF-002</t>
  </si>
  <si>
    <t>REQ-03</t>
  </si>
  <si>
    <t>Subir imágenes con descripciones</t>
  </si>
  <si>
    <t>Alta</t>
  </si>
  <si>
    <t>Media Upload</t>
  </si>
  <si>
    <t>TC-MAN-IMG-01</t>
  </si>
  <si>
    <t>Publicación de imagen con descripción de texto (Post)</t>
  </si>
  <si>
    <t>Carpeta Drive: /Multimedia</t>
  </si>
  <si>
    <t>REQ-04</t>
  </si>
  <si>
    <t>Comentar y reaccionar a publicaciones</t>
  </si>
  <si>
    <t>Engagement</t>
  </si>
  <si>
    <t>TC-AUTO-REV-01</t>
  </si>
  <si>
    <t>Simulación de publicación de Review/Comentario</t>
  </si>
  <si>
    <t>TC-MAN-COM-01</t>
  </si>
  <si>
    <t>Ciclo CRUD de un comentario en perfil público de terceros</t>
  </si>
  <si>
    <t>Carpeta Drive: /Comentarios</t>
  </si>
  <si>
    <t>REQ-05</t>
  </si>
  <si>
    <t>Enviar y recibir mensajes privados (Chat)</t>
  </si>
  <si>
    <t>Messaging</t>
  </si>
  <si>
    <t>TC-MAN-CHAT-01</t>
  </si>
  <si>
    <t>Envío de mensaje de texto y confirmación de lectura</t>
  </si>
  <si>
    <t>Carpeta Drive: /Chat</t>
  </si>
  <si>
    <t>TC-MAN-CHAT-02</t>
  </si>
  <si>
    <t>Envío de GIF y anulación de envío estándar</t>
  </si>
  <si>
    <t>TC-MAN-CHAT-03</t>
  </si>
  <si>
    <t>Edge Case: Anulación de envío en bloque (Imagen + Texto)</t>
  </si>
  <si>
    <t>❌ Failed</t>
  </si>
  <si>
    <t>DEF-001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</si>
</sst>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F1F1F"/>
      <name val="&quot;Google Sans Text&quot;"/>
    </font>
    <font>
      <color rgb="FF444746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3" numFmtId="9" xfId="0" applyAlignment="1" applyBorder="1" applyFont="1" applyNumberFormat="1">
      <alignment horizontal="center" readingOrder="0"/>
    </xf>
    <xf borderId="1" fillId="4" fontId="2" numFmtId="0" xfId="0" applyAlignment="1" applyBorder="1" applyFill="1" applyFont="1">
      <alignment horizontal="center" readingOrder="0" vertical="center"/>
    </xf>
    <xf borderId="1" fillId="0" fontId="3" numFmtId="9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Matriz de Trazabilida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y Porcentaje de Ejecución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Resumen!$B$9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Resumen!$A$10:$A$12</c:f>
            </c:strRef>
          </c:cat>
          <c:val>
            <c:numRef>
              <c:f>Resumen!$B$10:$B$12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0</xdr:row>
      <xdr:rowOff>0</xdr:rowOff>
    </xdr:from>
    <xdr:ext cx="5791200" cy="3581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2" displayName="Matriz_de_Trazabilidad_Red_Social" name="Matriz_de_Trazabilidad_Red_Social" id="1">
  <tableColumns count="11">
    <tableColumn name="Req ID" id="1"/>
    <tableColumn name="Nombre del Requisito (Business Need)" id="2"/>
    <tableColumn name="Prioridad / Riesgo" id="3"/>
    <tableColumn name="Módulo / Componente" id="4"/>
    <tableColumn name="ID Caso de Prueba (Test Case)" id="5"/>
    <tableColumn name="Título del Escenario" id="6"/>
    <tableColumn name="Tipo de Prueba" id="7"/>
    <tableColumn name="Estrategia / Entorno" id="8"/>
    <tableColumn name="Estado de Ejecución" id="9"/>
    <tableColumn name="ID Defecto Asociado" id="10"/>
    <tableColumn name="Evidencia / Trazabilidad" id="11"/>
  </tableColumns>
  <tableStyleInfo name="Matriz de Trazabilid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4.0"/>
    <col customWidth="1" min="3" max="3" width="39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</row>
    <row r="3">
      <c r="A3" s="4" t="s">
        <v>4</v>
      </c>
      <c r="B3" s="5">
        <v>5.0</v>
      </c>
      <c r="C3" s="6" t="s">
        <v>5</v>
      </c>
    </row>
    <row r="4">
      <c r="A4" s="4" t="s">
        <v>6</v>
      </c>
      <c r="B4" s="7">
        <f>COUNTA(Matriz_de_Trazabilidad_Red_Social[ID Caso de Prueba (Test Case)])</f>
        <v>11</v>
      </c>
      <c r="C4" s="6" t="s">
        <v>7</v>
      </c>
    </row>
    <row r="5">
      <c r="A5" s="4" t="s">
        <v>8</v>
      </c>
      <c r="B5" s="8">
        <f>COUNTIF(Matriz_de_Trazabilidad_Red_Social[Tipo de Prueba],"automatizada")</f>
        <v>4</v>
      </c>
      <c r="C5" s="6" t="s">
        <v>9</v>
      </c>
    </row>
    <row r="6">
      <c r="A6" s="4" t="s">
        <v>10</v>
      </c>
      <c r="B6" s="7">
        <f>COUNTIF(Matriz_de_Trazabilidad_Red_Social[Tipo de Prueba],"Manual")</f>
        <v>7</v>
      </c>
      <c r="C6" s="6" t="s">
        <v>11</v>
      </c>
    </row>
    <row r="7">
      <c r="A7" s="4" t="s">
        <v>12</v>
      </c>
      <c r="B7" s="9">
        <v>1.0</v>
      </c>
      <c r="C7" s="6" t="s">
        <v>13</v>
      </c>
    </row>
    <row r="8">
      <c r="A8" s="1" t="s">
        <v>14</v>
      </c>
    </row>
    <row r="9">
      <c r="A9" s="10" t="s">
        <v>15</v>
      </c>
      <c r="B9" s="10" t="s">
        <v>16</v>
      </c>
      <c r="C9" s="10" t="s">
        <v>17</v>
      </c>
    </row>
    <row r="10">
      <c r="A10" s="4" t="s">
        <v>18</v>
      </c>
      <c r="B10" s="7">
        <f>COUNTIF(Matriz_de_Trazabilidad_Red_Social[Estado de Ejecución],"✅ Passed")</f>
        <v>9</v>
      </c>
      <c r="C10" s="11">
        <f t="shared" ref="C10:C12" si="1">B10/$B$4</f>
        <v>0.8181818182</v>
      </c>
    </row>
    <row r="11">
      <c r="A11" s="4" t="s">
        <v>19</v>
      </c>
      <c r="B11" s="7">
        <f>COUNTIF(Matriz_de_Trazabilidad_Red_Social[Estado de Ejecución],"⚠️ Blocked")</f>
        <v>1</v>
      </c>
      <c r="C11" s="11">
        <f t="shared" si="1"/>
        <v>0.09090909091</v>
      </c>
    </row>
    <row r="12">
      <c r="A12" s="4" t="s">
        <v>20</v>
      </c>
      <c r="B12" s="7">
        <f>COUNTIF(Matriz_de_Trazabilidad_Red_Social[Estado de Ejecución],"❌ Failed")</f>
        <v>1</v>
      </c>
      <c r="C12" s="11">
        <f t="shared" si="1"/>
        <v>0.09090909091</v>
      </c>
    </row>
  </sheetData>
  <mergeCells count="2">
    <mergeCell ref="A1:C1"/>
    <mergeCell ref="A8:C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24.38"/>
    <col customWidth="1" min="3" max="3" width="16.63"/>
    <col customWidth="1" min="4" max="4" width="17.38"/>
    <col customWidth="1" min="5" max="5" width="24.13"/>
    <col customWidth="1" min="6" max="6" width="40.5"/>
    <col customWidth="1" min="7" max="7" width="12.38"/>
    <col customWidth="1" min="8" max="8" width="20.88"/>
    <col customWidth="1" min="9" max="9" width="16.63"/>
    <col customWidth="1" min="10" max="10" width="11.25"/>
    <col customWidth="1" min="11" max="11" width="22.25"/>
  </cols>
  <sheetData>
    <row r="1" ht="22.5" customHeight="1">
      <c r="A1" s="12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</row>
    <row r="2" ht="22.5" customHeight="1">
      <c r="A2" s="14" t="s">
        <v>32</v>
      </c>
      <c r="B2" s="15" t="s">
        <v>33</v>
      </c>
      <c r="C2" s="16" t="s">
        <v>34</v>
      </c>
      <c r="D2" s="17" t="s">
        <v>35</v>
      </c>
      <c r="E2" s="17" t="s">
        <v>36</v>
      </c>
      <c r="F2" s="15" t="s">
        <v>37</v>
      </c>
      <c r="G2" s="17" t="s">
        <v>38</v>
      </c>
      <c r="H2" s="17" t="s">
        <v>39</v>
      </c>
      <c r="I2" s="18" t="s">
        <v>40</v>
      </c>
      <c r="J2" s="17" t="s">
        <v>41</v>
      </c>
      <c r="K2" s="17" t="s">
        <v>42</v>
      </c>
    </row>
    <row r="3" ht="22.5" customHeight="1">
      <c r="A3" s="14" t="s">
        <v>32</v>
      </c>
      <c r="B3" s="15" t="s">
        <v>33</v>
      </c>
      <c r="C3" s="16" t="s">
        <v>34</v>
      </c>
      <c r="D3" s="17" t="s">
        <v>35</v>
      </c>
      <c r="E3" s="17" t="s">
        <v>43</v>
      </c>
      <c r="F3" s="15" t="s">
        <v>44</v>
      </c>
      <c r="G3" s="17" t="s">
        <v>45</v>
      </c>
      <c r="H3" s="17" t="s">
        <v>46</v>
      </c>
      <c r="I3" s="18" t="s">
        <v>47</v>
      </c>
      <c r="J3" s="17" t="s">
        <v>48</v>
      </c>
      <c r="K3" s="17" t="s">
        <v>49</v>
      </c>
    </row>
    <row r="4" ht="22.5" customHeight="1">
      <c r="A4" s="14" t="s">
        <v>50</v>
      </c>
      <c r="B4" s="15" t="s">
        <v>51</v>
      </c>
      <c r="C4" s="16" t="s">
        <v>34</v>
      </c>
      <c r="D4" s="17" t="s">
        <v>35</v>
      </c>
      <c r="E4" s="17" t="s">
        <v>52</v>
      </c>
      <c r="F4" s="15" t="s">
        <v>53</v>
      </c>
      <c r="G4" s="17" t="s">
        <v>38</v>
      </c>
      <c r="H4" s="17" t="s">
        <v>39</v>
      </c>
      <c r="I4" s="18" t="s">
        <v>40</v>
      </c>
      <c r="J4" s="17" t="s">
        <v>41</v>
      </c>
      <c r="K4" s="17" t="s">
        <v>42</v>
      </c>
    </row>
    <row r="5" ht="22.5" customHeight="1">
      <c r="A5" s="14" t="s">
        <v>50</v>
      </c>
      <c r="B5" s="15" t="s">
        <v>51</v>
      </c>
      <c r="C5" s="16" t="s">
        <v>34</v>
      </c>
      <c r="D5" s="17" t="s">
        <v>35</v>
      </c>
      <c r="E5" s="17" t="s">
        <v>54</v>
      </c>
      <c r="F5" s="15" t="s">
        <v>55</v>
      </c>
      <c r="G5" s="17" t="s">
        <v>45</v>
      </c>
      <c r="H5" s="17" t="s">
        <v>46</v>
      </c>
      <c r="I5" s="18" t="s">
        <v>40</v>
      </c>
      <c r="J5" s="17" t="s">
        <v>41</v>
      </c>
      <c r="K5" s="17" t="s">
        <v>56</v>
      </c>
    </row>
    <row r="6" ht="22.5" customHeight="1">
      <c r="A6" s="14" t="s">
        <v>50</v>
      </c>
      <c r="B6" s="15" t="s">
        <v>51</v>
      </c>
      <c r="C6" s="16" t="s">
        <v>57</v>
      </c>
      <c r="D6" s="17" t="s">
        <v>35</v>
      </c>
      <c r="E6" s="17" t="s">
        <v>58</v>
      </c>
      <c r="F6" s="15" t="s">
        <v>59</v>
      </c>
      <c r="G6" s="17" t="s">
        <v>38</v>
      </c>
      <c r="H6" s="17" t="s">
        <v>39</v>
      </c>
      <c r="I6" s="18" t="s">
        <v>40</v>
      </c>
      <c r="J6" s="17" t="s">
        <v>60</v>
      </c>
      <c r="K6" s="17" t="s">
        <v>42</v>
      </c>
    </row>
    <row r="7" ht="22.5" customHeight="1">
      <c r="A7" s="14" t="s">
        <v>61</v>
      </c>
      <c r="B7" s="15" t="s">
        <v>62</v>
      </c>
      <c r="C7" s="16" t="s">
        <v>63</v>
      </c>
      <c r="D7" s="17" t="s">
        <v>64</v>
      </c>
      <c r="E7" s="17" t="s">
        <v>65</v>
      </c>
      <c r="F7" s="15" t="s">
        <v>66</v>
      </c>
      <c r="G7" s="17" t="s">
        <v>45</v>
      </c>
      <c r="H7" s="17" t="s">
        <v>46</v>
      </c>
      <c r="I7" s="18" t="s">
        <v>40</v>
      </c>
      <c r="J7" s="17" t="s">
        <v>41</v>
      </c>
      <c r="K7" s="17" t="s">
        <v>67</v>
      </c>
    </row>
    <row r="8" ht="22.5" customHeight="1">
      <c r="A8" s="14" t="s">
        <v>68</v>
      </c>
      <c r="B8" s="15" t="s">
        <v>69</v>
      </c>
      <c r="C8" s="16" t="s">
        <v>63</v>
      </c>
      <c r="D8" s="17" t="s">
        <v>70</v>
      </c>
      <c r="E8" s="17" t="s">
        <v>71</v>
      </c>
      <c r="F8" s="15" t="s">
        <v>72</v>
      </c>
      <c r="G8" s="17" t="s">
        <v>38</v>
      </c>
      <c r="H8" s="17" t="s">
        <v>39</v>
      </c>
      <c r="I8" s="18" t="s">
        <v>40</v>
      </c>
      <c r="J8" s="17" t="s">
        <v>41</v>
      </c>
      <c r="K8" s="17" t="s">
        <v>42</v>
      </c>
    </row>
    <row r="9" ht="22.5" customHeight="1">
      <c r="A9" s="14" t="s">
        <v>68</v>
      </c>
      <c r="B9" s="15" t="s">
        <v>69</v>
      </c>
      <c r="C9" s="16" t="s">
        <v>63</v>
      </c>
      <c r="D9" s="17" t="s">
        <v>70</v>
      </c>
      <c r="E9" s="17" t="s">
        <v>73</v>
      </c>
      <c r="F9" s="15" t="s">
        <v>74</v>
      </c>
      <c r="G9" s="17" t="s">
        <v>45</v>
      </c>
      <c r="H9" s="17" t="s">
        <v>46</v>
      </c>
      <c r="I9" s="18" t="s">
        <v>40</v>
      </c>
      <c r="J9" s="17" t="s">
        <v>41</v>
      </c>
      <c r="K9" s="17" t="s">
        <v>75</v>
      </c>
    </row>
    <row r="10" ht="22.5" customHeight="1">
      <c r="A10" s="14" t="s">
        <v>76</v>
      </c>
      <c r="B10" s="15" t="s">
        <v>77</v>
      </c>
      <c r="C10" s="16" t="s">
        <v>34</v>
      </c>
      <c r="D10" s="17" t="s">
        <v>78</v>
      </c>
      <c r="E10" s="17" t="s">
        <v>79</v>
      </c>
      <c r="F10" s="15" t="s">
        <v>80</v>
      </c>
      <c r="G10" s="17" t="s">
        <v>45</v>
      </c>
      <c r="H10" s="17" t="s">
        <v>46</v>
      </c>
      <c r="I10" s="18" t="s">
        <v>40</v>
      </c>
      <c r="J10" s="17" t="s">
        <v>41</v>
      </c>
      <c r="K10" s="17" t="s">
        <v>81</v>
      </c>
    </row>
    <row r="11" ht="22.5" customHeight="1">
      <c r="A11" s="14" t="s">
        <v>76</v>
      </c>
      <c r="B11" s="15" t="s">
        <v>77</v>
      </c>
      <c r="C11" s="16" t="s">
        <v>57</v>
      </c>
      <c r="D11" s="17" t="s">
        <v>78</v>
      </c>
      <c r="E11" s="17" t="s">
        <v>82</v>
      </c>
      <c r="F11" s="15" t="s">
        <v>83</v>
      </c>
      <c r="G11" s="17" t="s">
        <v>45</v>
      </c>
      <c r="H11" s="17" t="s">
        <v>46</v>
      </c>
      <c r="I11" s="18" t="s">
        <v>40</v>
      </c>
      <c r="J11" s="17" t="s">
        <v>41</v>
      </c>
      <c r="K11" s="17" t="s">
        <v>81</v>
      </c>
    </row>
    <row r="12" ht="22.5" customHeight="1">
      <c r="A12" s="14" t="s">
        <v>76</v>
      </c>
      <c r="B12" s="15" t="s">
        <v>77</v>
      </c>
      <c r="C12" s="16" t="s">
        <v>34</v>
      </c>
      <c r="D12" s="17" t="s">
        <v>78</v>
      </c>
      <c r="E12" s="17" t="s">
        <v>84</v>
      </c>
      <c r="F12" s="15" t="s">
        <v>85</v>
      </c>
      <c r="G12" s="17" t="s">
        <v>45</v>
      </c>
      <c r="H12" s="17" t="s">
        <v>46</v>
      </c>
      <c r="I12" s="18" t="s">
        <v>86</v>
      </c>
      <c r="J12" s="17" t="s">
        <v>87</v>
      </c>
      <c r="K12" s="17" t="s">
        <v>81</v>
      </c>
    </row>
    <row r="13"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99"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>
      <c r="B110" s="19"/>
      <c r="C110" s="19"/>
      <c r="D110" s="19"/>
      <c r="E110" s="19"/>
      <c r="F110" s="19"/>
      <c r="G110" s="19"/>
      <c r="H110" s="19"/>
      <c r="I110" s="19"/>
      <c r="J110" s="19"/>
      <c r="K110" s="19"/>
    </row>
    <row r="111"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>
      <c r="B114" s="19"/>
      <c r="C114" s="19"/>
      <c r="D114" s="19"/>
      <c r="E114" s="19"/>
      <c r="F114" s="19"/>
      <c r="G114" s="19"/>
      <c r="H114" s="19"/>
      <c r="I114" s="19"/>
      <c r="J114" s="19"/>
      <c r="K114" s="19"/>
    </row>
    <row r="115"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>
      <c r="B116" s="19"/>
      <c r="C116" s="19"/>
      <c r="D116" s="19"/>
      <c r="E116" s="19"/>
      <c r="F116" s="19"/>
      <c r="G116" s="19"/>
      <c r="H116" s="19"/>
      <c r="I116" s="19"/>
      <c r="J116" s="19"/>
      <c r="K116" s="19"/>
    </row>
    <row r="117"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>
      <c r="B138" s="19"/>
      <c r="C138" s="19"/>
      <c r="D138" s="19"/>
      <c r="E138" s="19"/>
      <c r="F138" s="19"/>
      <c r="G138" s="19"/>
      <c r="H138" s="19"/>
      <c r="I138" s="19"/>
      <c r="J138" s="19"/>
      <c r="K138" s="19"/>
    </row>
    <row r="139"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>
      <c r="B140" s="19"/>
      <c r="C140" s="19"/>
      <c r="D140" s="19"/>
      <c r="E140" s="19"/>
      <c r="F140" s="19"/>
      <c r="G140" s="19"/>
      <c r="H140" s="19"/>
      <c r="I140" s="19"/>
      <c r="J140" s="19"/>
      <c r="K140" s="19"/>
    </row>
    <row r="141"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>
      <c r="B142" s="19"/>
      <c r="C142" s="19"/>
      <c r="D142" s="19"/>
      <c r="E142" s="19"/>
      <c r="F142" s="19"/>
      <c r="G142" s="19"/>
      <c r="H142" s="19"/>
      <c r="I142" s="19"/>
      <c r="J142" s="19"/>
      <c r="K142" s="19"/>
    </row>
    <row r="143"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>
      <c r="B144" s="19"/>
      <c r="C144" s="19"/>
      <c r="D144" s="19"/>
      <c r="E144" s="19"/>
      <c r="F144" s="19"/>
      <c r="G144" s="19"/>
      <c r="H144" s="19"/>
      <c r="I144" s="19"/>
      <c r="J144" s="19"/>
      <c r="K144" s="19"/>
    </row>
    <row r="145"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>
      <c r="B146" s="19"/>
      <c r="C146" s="19"/>
      <c r="D146" s="19"/>
      <c r="E146" s="19"/>
      <c r="F146" s="19"/>
      <c r="G146" s="19"/>
      <c r="H146" s="19"/>
      <c r="I146" s="19"/>
      <c r="J146" s="19"/>
      <c r="K146" s="19"/>
    </row>
    <row r="147"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>
      <c r="B148" s="19"/>
      <c r="C148" s="19"/>
      <c r="D148" s="19"/>
      <c r="E148" s="19"/>
      <c r="F148" s="19"/>
      <c r="G148" s="19"/>
      <c r="H148" s="19"/>
      <c r="I148" s="19"/>
      <c r="J148" s="19"/>
      <c r="K148" s="19"/>
    </row>
    <row r="149"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>
      <c r="B150" s="19"/>
      <c r="C150" s="19"/>
      <c r="D150" s="19"/>
      <c r="E150" s="19"/>
      <c r="F150" s="19"/>
      <c r="G150" s="19"/>
      <c r="H150" s="19"/>
      <c r="I150" s="19"/>
      <c r="J150" s="19"/>
      <c r="K150" s="19"/>
    </row>
    <row r="151"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>
      <c r="B152" s="19"/>
      <c r="C152" s="19"/>
      <c r="D152" s="19"/>
      <c r="E152" s="19"/>
      <c r="F152" s="19"/>
      <c r="G152" s="19"/>
      <c r="H152" s="19"/>
      <c r="I152" s="19"/>
      <c r="J152" s="19"/>
      <c r="K152" s="19"/>
    </row>
    <row r="153"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>
      <c r="B154" s="19"/>
      <c r="C154" s="19"/>
      <c r="D154" s="19"/>
      <c r="E154" s="19"/>
      <c r="F154" s="19"/>
      <c r="G154" s="19"/>
      <c r="H154" s="19"/>
      <c r="I154" s="19"/>
      <c r="J154" s="19"/>
      <c r="K154" s="19"/>
    </row>
    <row r="155"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>
      <c r="B156" s="19"/>
      <c r="C156" s="19"/>
      <c r="D156" s="19"/>
      <c r="E156" s="19"/>
      <c r="F156" s="19"/>
      <c r="G156" s="19"/>
      <c r="H156" s="19"/>
      <c r="I156" s="19"/>
      <c r="J156" s="19"/>
      <c r="K156" s="19"/>
    </row>
    <row r="157"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>
      <c r="B160" s="19"/>
      <c r="C160" s="19"/>
      <c r="D160" s="19"/>
      <c r="E160" s="19"/>
      <c r="F160" s="19"/>
      <c r="G160" s="19"/>
      <c r="H160" s="19"/>
      <c r="I160" s="19"/>
      <c r="J160" s="19"/>
      <c r="K160" s="19"/>
    </row>
    <row r="161"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>
      <c r="B162" s="19"/>
      <c r="C162" s="19"/>
      <c r="D162" s="19"/>
      <c r="E162" s="19"/>
      <c r="F162" s="19"/>
      <c r="G162" s="19"/>
      <c r="H162" s="19"/>
      <c r="I162" s="19"/>
      <c r="J162" s="19"/>
      <c r="K162" s="19"/>
    </row>
    <row r="163"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>
      <c r="B164" s="19"/>
      <c r="C164" s="19"/>
      <c r="D164" s="19"/>
      <c r="E164" s="19"/>
      <c r="F164" s="19"/>
      <c r="G164" s="19"/>
      <c r="H164" s="19"/>
      <c r="I164" s="19"/>
      <c r="J164" s="19"/>
      <c r="K164" s="19"/>
    </row>
    <row r="165"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>
      <c r="B166" s="19"/>
      <c r="C166" s="19"/>
      <c r="D166" s="19"/>
      <c r="E166" s="19"/>
      <c r="F166" s="19"/>
      <c r="G166" s="19"/>
      <c r="H166" s="19"/>
      <c r="I166" s="19"/>
      <c r="J166" s="19"/>
      <c r="K166" s="19"/>
    </row>
    <row r="167"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>
      <c r="B168" s="19"/>
      <c r="C168" s="19"/>
      <c r="D168" s="19"/>
      <c r="E168" s="19"/>
      <c r="F168" s="19"/>
      <c r="G168" s="19"/>
      <c r="H168" s="19"/>
      <c r="I168" s="19"/>
      <c r="J168" s="19"/>
      <c r="K168" s="19"/>
    </row>
    <row r="169"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>
      <c r="B170" s="19"/>
      <c r="C170" s="19"/>
      <c r="D170" s="19"/>
      <c r="E170" s="19"/>
      <c r="F170" s="19"/>
      <c r="G170" s="19"/>
      <c r="H170" s="19"/>
      <c r="I170" s="19"/>
      <c r="J170" s="19"/>
      <c r="K170" s="19"/>
    </row>
    <row r="171"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>
      <c r="B172" s="19"/>
      <c r="C172" s="19"/>
      <c r="D172" s="19"/>
      <c r="E172" s="19"/>
      <c r="F172" s="19"/>
      <c r="G172" s="19"/>
      <c r="H172" s="19"/>
      <c r="I172" s="19"/>
      <c r="J172" s="19"/>
      <c r="K172" s="19"/>
    </row>
    <row r="173"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>
      <c r="B174" s="19"/>
      <c r="C174" s="19"/>
      <c r="D174" s="19"/>
      <c r="E174" s="19"/>
      <c r="F174" s="19"/>
      <c r="G174" s="19"/>
      <c r="H174" s="19"/>
      <c r="I174" s="19"/>
      <c r="J174" s="19"/>
      <c r="K174" s="19"/>
    </row>
    <row r="175"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>
      <c r="B176" s="19"/>
      <c r="C176" s="19"/>
      <c r="D176" s="19"/>
      <c r="E176" s="19"/>
      <c r="F176" s="19"/>
      <c r="G176" s="19"/>
      <c r="H176" s="19"/>
      <c r="I176" s="19"/>
      <c r="J176" s="19"/>
      <c r="K176" s="19"/>
    </row>
    <row r="177"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>
      <c r="B178" s="19"/>
      <c r="C178" s="19"/>
      <c r="D178" s="19"/>
      <c r="E178" s="19"/>
      <c r="F178" s="19"/>
      <c r="G178" s="19"/>
      <c r="H178" s="19"/>
      <c r="I178" s="19"/>
      <c r="J178" s="19"/>
      <c r="K178" s="19"/>
    </row>
    <row r="179"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>
      <c r="B180" s="19"/>
      <c r="C180" s="19"/>
      <c r="D180" s="19"/>
      <c r="E180" s="19"/>
      <c r="F180" s="19"/>
      <c r="G180" s="19"/>
      <c r="H180" s="19"/>
      <c r="I180" s="19"/>
      <c r="J180" s="19"/>
      <c r="K180" s="19"/>
    </row>
    <row r="181"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>
      <c r="B182" s="19"/>
      <c r="C182" s="19"/>
      <c r="D182" s="19"/>
      <c r="E182" s="19"/>
      <c r="F182" s="19"/>
      <c r="G182" s="19"/>
      <c r="H182" s="19"/>
      <c r="I182" s="19"/>
      <c r="J182" s="19"/>
      <c r="K182" s="19"/>
    </row>
    <row r="183"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>
      <c r="B184" s="19"/>
      <c r="C184" s="19"/>
      <c r="D184" s="19"/>
      <c r="E184" s="19"/>
      <c r="F184" s="19"/>
      <c r="G184" s="19"/>
      <c r="H184" s="19"/>
      <c r="I184" s="19"/>
      <c r="J184" s="19"/>
      <c r="K184" s="19"/>
    </row>
    <row r="185"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>
      <c r="B186" s="19"/>
      <c r="C186" s="19"/>
      <c r="D186" s="19"/>
      <c r="E186" s="19"/>
      <c r="F186" s="19"/>
      <c r="G186" s="19"/>
      <c r="H186" s="19"/>
      <c r="I186" s="19"/>
      <c r="J186" s="19"/>
      <c r="K186" s="19"/>
    </row>
    <row r="187"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>
      <c r="B188" s="19"/>
      <c r="C188" s="19"/>
      <c r="D188" s="19"/>
      <c r="E188" s="19"/>
      <c r="F188" s="19"/>
      <c r="G188" s="19"/>
      <c r="H188" s="19"/>
      <c r="I188" s="19"/>
      <c r="J188" s="19"/>
      <c r="K188" s="19"/>
    </row>
    <row r="189"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>
      <c r="B190" s="19"/>
      <c r="C190" s="19"/>
      <c r="D190" s="19"/>
      <c r="E190" s="19"/>
      <c r="F190" s="19"/>
      <c r="G190" s="19"/>
      <c r="H190" s="19"/>
      <c r="I190" s="19"/>
      <c r="J190" s="19"/>
      <c r="K190" s="19"/>
    </row>
    <row r="191"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>
      <c r="B192" s="19"/>
      <c r="C192" s="19"/>
      <c r="D192" s="19"/>
      <c r="E192" s="19"/>
      <c r="F192" s="19"/>
      <c r="G192" s="19"/>
      <c r="H192" s="19"/>
      <c r="I192" s="19"/>
      <c r="J192" s="19"/>
      <c r="K192" s="19"/>
    </row>
    <row r="193"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>
      <c r="B194" s="19"/>
      <c r="C194" s="19"/>
      <c r="D194" s="19"/>
      <c r="E194" s="19"/>
      <c r="F194" s="19"/>
      <c r="G194" s="19"/>
      <c r="H194" s="19"/>
      <c r="I194" s="19"/>
      <c r="J194" s="19"/>
      <c r="K194" s="19"/>
    </row>
    <row r="195"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>
      <c r="B196" s="19"/>
      <c r="C196" s="19"/>
      <c r="D196" s="19"/>
      <c r="E196" s="19"/>
      <c r="F196" s="19"/>
      <c r="G196" s="19"/>
      <c r="H196" s="19"/>
      <c r="I196" s="19"/>
      <c r="J196" s="19"/>
      <c r="K196" s="19"/>
    </row>
    <row r="197"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>
      <c r="B198" s="19"/>
      <c r="C198" s="19"/>
      <c r="D198" s="19"/>
      <c r="E198" s="19"/>
      <c r="F198" s="19"/>
      <c r="G198" s="19"/>
      <c r="H198" s="19"/>
      <c r="I198" s="19"/>
      <c r="J198" s="19"/>
      <c r="K198" s="19"/>
    </row>
    <row r="199"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>
      <c r="B200" s="19"/>
      <c r="C200" s="19"/>
      <c r="D200" s="19"/>
      <c r="E200" s="19"/>
      <c r="F200" s="19"/>
      <c r="G200" s="19"/>
      <c r="H200" s="19"/>
      <c r="I200" s="19"/>
      <c r="J200" s="19"/>
      <c r="K200" s="19"/>
    </row>
    <row r="201"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>
      <c r="B202" s="19"/>
      <c r="C202" s="19"/>
      <c r="D202" s="19"/>
      <c r="E202" s="19"/>
      <c r="F202" s="19"/>
      <c r="G202" s="19"/>
      <c r="H202" s="19"/>
      <c r="I202" s="19"/>
      <c r="J202" s="19"/>
      <c r="K202" s="19"/>
    </row>
    <row r="203"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>
      <c r="B204" s="19"/>
      <c r="C204" s="19"/>
      <c r="D204" s="19"/>
      <c r="E204" s="19"/>
      <c r="F204" s="19"/>
      <c r="G204" s="19"/>
      <c r="H204" s="19"/>
      <c r="I204" s="19"/>
      <c r="J204" s="19"/>
      <c r="K204" s="19"/>
    </row>
    <row r="205"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>
      <c r="B206" s="19"/>
      <c r="C206" s="19"/>
      <c r="D206" s="19"/>
      <c r="E206" s="19"/>
      <c r="F206" s="19"/>
      <c r="G206" s="19"/>
      <c r="H206" s="19"/>
      <c r="I206" s="19"/>
      <c r="J206" s="19"/>
      <c r="K206" s="19"/>
    </row>
    <row r="207"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>
      <c r="B208" s="19"/>
      <c r="C208" s="19"/>
      <c r="D208" s="19"/>
      <c r="E208" s="19"/>
      <c r="F208" s="19"/>
      <c r="G208" s="19"/>
      <c r="H208" s="19"/>
      <c r="I208" s="19"/>
      <c r="J208" s="19"/>
      <c r="K208" s="19"/>
    </row>
    <row r="209"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>
      <c r="B210" s="19"/>
      <c r="C210" s="19"/>
      <c r="D210" s="19"/>
      <c r="E210" s="19"/>
      <c r="F210" s="19"/>
      <c r="G210" s="19"/>
      <c r="H210" s="19"/>
      <c r="I210" s="19"/>
      <c r="J210" s="19"/>
      <c r="K210" s="19"/>
    </row>
    <row r="211"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>
      <c r="B212" s="19"/>
      <c r="C212" s="19"/>
      <c r="D212" s="19"/>
      <c r="E212" s="19"/>
      <c r="F212" s="19"/>
      <c r="G212" s="19"/>
      <c r="H212" s="19"/>
      <c r="I212" s="19"/>
      <c r="J212" s="19"/>
      <c r="K212" s="19"/>
    </row>
    <row r="213"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>
      <c r="B214" s="19"/>
      <c r="C214" s="19"/>
      <c r="D214" s="19"/>
      <c r="E214" s="19"/>
      <c r="F214" s="19"/>
      <c r="G214" s="19"/>
      <c r="H214" s="19"/>
      <c r="I214" s="19"/>
      <c r="J214" s="19"/>
      <c r="K214" s="19"/>
    </row>
    <row r="215"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>
      <c r="B216" s="19"/>
      <c r="C216" s="19"/>
      <c r="D216" s="19"/>
      <c r="E216" s="19"/>
      <c r="F216" s="19"/>
      <c r="G216" s="19"/>
      <c r="H216" s="19"/>
      <c r="I216" s="19"/>
      <c r="J216" s="19"/>
      <c r="K216" s="19"/>
    </row>
    <row r="217"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>
      <c r="B218" s="19"/>
      <c r="C218" s="19"/>
      <c r="D218" s="19"/>
      <c r="E218" s="19"/>
      <c r="F218" s="19"/>
      <c r="G218" s="19"/>
      <c r="H218" s="19"/>
      <c r="I218" s="19"/>
      <c r="J218" s="19"/>
      <c r="K218" s="19"/>
    </row>
    <row r="219"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>
      <c r="B220" s="19"/>
      <c r="C220" s="19"/>
      <c r="D220" s="19"/>
      <c r="E220" s="19"/>
      <c r="F220" s="19"/>
      <c r="G220" s="19"/>
      <c r="H220" s="19"/>
      <c r="I220" s="19"/>
      <c r="J220" s="19"/>
      <c r="K220" s="19"/>
    </row>
    <row r="221"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>
      <c r="B222" s="19"/>
      <c r="C222" s="19"/>
      <c r="D222" s="19"/>
      <c r="E222" s="19"/>
      <c r="F222" s="19"/>
      <c r="G222" s="19"/>
      <c r="H222" s="19"/>
      <c r="I222" s="19"/>
      <c r="J222" s="19"/>
      <c r="K222" s="19"/>
    </row>
    <row r="223">
      <c r="B223" s="19"/>
      <c r="C223" s="19"/>
      <c r="D223" s="19"/>
      <c r="E223" s="19"/>
      <c r="F223" s="19"/>
      <c r="G223" s="19"/>
      <c r="H223" s="19"/>
      <c r="I223" s="19"/>
      <c r="J223" s="19"/>
      <c r="K223" s="19"/>
    </row>
    <row r="224">
      <c r="B224" s="19"/>
      <c r="C224" s="19"/>
      <c r="D224" s="19"/>
      <c r="E224" s="19"/>
      <c r="F224" s="19"/>
      <c r="G224" s="19"/>
      <c r="H224" s="19"/>
      <c r="I224" s="19"/>
      <c r="J224" s="19"/>
      <c r="K224" s="19"/>
    </row>
    <row r="225">
      <c r="B225" s="19"/>
      <c r="C225" s="19"/>
      <c r="D225" s="19"/>
      <c r="E225" s="19"/>
      <c r="F225" s="19"/>
      <c r="G225" s="19"/>
      <c r="H225" s="19"/>
      <c r="I225" s="19"/>
      <c r="J225" s="19"/>
      <c r="K225" s="19"/>
    </row>
    <row r="226">
      <c r="B226" s="19"/>
      <c r="C226" s="19"/>
      <c r="D226" s="19"/>
      <c r="E226" s="19"/>
      <c r="F226" s="19"/>
      <c r="G226" s="19"/>
      <c r="H226" s="19"/>
      <c r="I226" s="19"/>
      <c r="J226" s="19"/>
      <c r="K226" s="19"/>
    </row>
    <row r="227">
      <c r="B227" s="19"/>
      <c r="C227" s="19"/>
      <c r="D227" s="19"/>
      <c r="E227" s="19"/>
      <c r="F227" s="19"/>
      <c r="G227" s="19"/>
      <c r="H227" s="19"/>
      <c r="I227" s="19"/>
      <c r="J227" s="19"/>
      <c r="K227" s="19"/>
    </row>
    <row r="228">
      <c r="B228" s="19"/>
      <c r="C228" s="19"/>
      <c r="D228" s="19"/>
      <c r="E228" s="19"/>
      <c r="F228" s="19"/>
      <c r="G228" s="19"/>
      <c r="H228" s="19"/>
      <c r="I228" s="19"/>
      <c r="J228" s="19"/>
      <c r="K228" s="19"/>
    </row>
    <row r="229">
      <c r="B229" s="19"/>
      <c r="C229" s="19"/>
      <c r="D229" s="19"/>
      <c r="E229" s="19"/>
      <c r="F229" s="19"/>
      <c r="G229" s="19"/>
      <c r="H229" s="19"/>
      <c r="I229" s="19"/>
      <c r="J229" s="19"/>
      <c r="K229" s="19"/>
    </row>
    <row r="230">
      <c r="B230" s="19"/>
      <c r="C230" s="19"/>
      <c r="D230" s="19"/>
      <c r="E230" s="19"/>
      <c r="F230" s="19"/>
      <c r="G230" s="19"/>
      <c r="H230" s="19"/>
      <c r="I230" s="19"/>
      <c r="J230" s="19"/>
      <c r="K230" s="19"/>
    </row>
    <row r="231">
      <c r="B231" s="19"/>
      <c r="C231" s="19"/>
      <c r="D231" s="19"/>
      <c r="E231" s="19"/>
      <c r="F231" s="19"/>
      <c r="G231" s="19"/>
      <c r="H231" s="19"/>
      <c r="I231" s="19"/>
      <c r="J231" s="19"/>
      <c r="K231" s="19"/>
    </row>
    <row r="232">
      <c r="B232" s="19"/>
      <c r="C232" s="19"/>
      <c r="D232" s="19"/>
      <c r="E232" s="19"/>
      <c r="F232" s="19"/>
      <c r="G232" s="19"/>
      <c r="H232" s="19"/>
      <c r="I232" s="19"/>
      <c r="J232" s="19"/>
      <c r="K232" s="19"/>
    </row>
    <row r="233">
      <c r="B233" s="19"/>
      <c r="C233" s="19"/>
      <c r="D233" s="19"/>
      <c r="E233" s="19"/>
      <c r="F233" s="19"/>
      <c r="G233" s="19"/>
      <c r="H233" s="19"/>
      <c r="I233" s="19"/>
      <c r="J233" s="19"/>
      <c r="K233" s="19"/>
    </row>
    <row r="234">
      <c r="B234" s="19"/>
      <c r="C234" s="19"/>
      <c r="D234" s="19"/>
      <c r="E234" s="19"/>
      <c r="F234" s="19"/>
      <c r="G234" s="19"/>
      <c r="H234" s="19"/>
      <c r="I234" s="19"/>
      <c r="J234" s="19"/>
      <c r="K234" s="19"/>
    </row>
    <row r="235">
      <c r="B235" s="19"/>
      <c r="C235" s="19"/>
      <c r="D235" s="19"/>
      <c r="E235" s="19"/>
      <c r="F235" s="19"/>
      <c r="G235" s="19"/>
      <c r="H235" s="19"/>
      <c r="I235" s="19"/>
      <c r="J235" s="19"/>
      <c r="K235" s="19"/>
    </row>
    <row r="236">
      <c r="B236" s="19"/>
      <c r="C236" s="19"/>
      <c r="D236" s="19"/>
      <c r="E236" s="19"/>
      <c r="F236" s="19"/>
      <c r="G236" s="19"/>
      <c r="H236" s="19"/>
      <c r="I236" s="19"/>
      <c r="J236" s="19"/>
      <c r="K236" s="19"/>
    </row>
    <row r="237">
      <c r="B237" s="19"/>
      <c r="C237" s="19"/>
      <c r="D237" s="19"/>
      <c r="E237" s="19"/>
      <c r="F237" s="19"/>
      <c r="G237" s="19"/>
      <c r="H237" s="19"/>
      <c r="I237" s="19"/>
      <c r="J237" s="19"/>
      <c r="K237" s="19"/>
    </row>
    <row r="238">
      <c r="B238" s="19"/>
      <c r="C238" s="19"/>
      <c r="D238" s="19"/>
      <c r="E238" s="19"/>
      <c r="F238" s="19"/>
      <c r="G238" s="19"/>
      <c r="H238" s="19"/>
      <c r="I238" s="19"/>
      <c r="J238" s="19"/>
      <c r="K238" s="19"/>
    </row>
    <row r="239"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>
      <c r="B240" s="19"/>
      <c r="C240" s="19"/>
      <c r="D240" s="19"/>
      <c r="E240" s="19"/>
      <c r="F240" s="19"/>
      <c r="G240" s="19"/>
      <c r="H240" s="19"/>
      <c r="I240" s="19"/>
      <c r="J240" s="19"/>
      <c r="K240" s="19"/>
    </row>
    <row r="241"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>
      <c r="B242" s="19"/>
      <c r="C242" s="19"/>
      <c r="D242" s="19"/>
      <c r="E242" s="19"/>
      <c r="F242" s="19"/>
      <c r="G242" s="19"/>
      <c r="H242" s="19"/>
      <c r="I242" s="19"/>
      <c r="J242" s="19"/>
      <c r="K242" s="19"/>
    </row>
    <row r="243"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>
      <c r="B244" s="19"/>
      <c r="C244" s="19"/>
      <c r="D244" s="19"/>
      <c r="E244" s="19"/>
      <c r="F244" s="19"/>
      <c r="G244" s="19"/>
      <c r="H244" s="19"/>
      <c r="I244" s="19"/>
      <c r="J244" s="19"/>
      <c r="K244" s="19"/>
    </row>
    <row r="245"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>
      <c r="B246" s="19"/>
      <c r="C246" s="19"/>
      <c r="D246" s="19"/>
      <c r="E246" s="19"/>
      <c r="F246" s="19"/>
      <c r="G246" s="19"/>
      <c r="H246" s="19"/>
      <c r="I246" s="19"/>
      <c r="J246" s="19"/>
      <c r="K246" s="19"/>
    </row>
    <row r="247"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>
      <c r="B248" s="19"/>
      <c r="C248" s="19"/>
      <c r="D248" s="19"/>
      <c r="E248" s="19"/>
      <c r="F248" s="19"/>
      <c r="G248" s="19"/>
      <c r="H248" s="19"/>
      <c r="I248" s="19"/>
      <c r="J248" s="19"/>
      <c r="K248" s="19"/>
    </row>
    <row r="249"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>
      <c r="B250" s="19"/>
      <c r="C250" s="19"/>
      <c r="D250" s="19"/>
      <c r="E250" s="19"/>
      <c r="F250" s="19"/>
      <c r="G250" s="19"/>
      <c r="H250" s="19"/>
      <c r="I250" s="19"/>
      <c r="J250" s="19"/>
      <c r="K250" s="19"/>
    </row>
    <row r="251"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>
      <c r="B252" s="19"/>
      <c r="C252" s="19"/>
      <c r="D252" s="19"/>
      <c r="E252" s="19"/>
      <c r="F252" s="19"/>
      <c r="G252" s="19"/>
      <c r="H252" s="19"/>
      <c r="I252" s="19"/>
      <c r="J252" s="19"/>
      <c r="K252" s="19"/>
    </row>
    <row r="253"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>
      <c r="B254" s="19"/>
      <c r="C254" s="19"/>
      <c r="D254" s="19"/>
      <c r="E254" s="19"/>
      <c r="F254" s="19"/>
      <c r="G254" s="19"/>
      <c r="H254" s="19"/>
      <c r="I254" s="19"/>
      <c r="J254" s="19"/>
      <c r="K254" s="19"/>
    </row>
    <row r="255"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>
      <c r="B256" s="19"/>
      <c r="C256" s="19"/>
      <c r="D256" s="19"/>
      <c r="E256" s="19"/>
      <c r="F256" s="19"/>
      <c r="G256" s="19"/>
      <c r="H256" s="19"/>
      <c r="I256" s="19"/>
      <c r="J256" s="19"/>
      <c r="K256" s="19"/>
    </row>
    <row r="257"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>
      <c r="B258" s="19"/>
      <c r="C258" s="19"/>
      <c r="D258" s="19"/>
      <c r="E258" s="19"/>
      <c r="F258" s="19"/>
      <c r="G258" s="19"/>
      <c r="H258" s="19"/>
      <c r="I258" s="19"/>
      <c r="J258" s="19"/>
      <c r="K258" s="19"/>
    </row>
    <row r="259"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>
      <c r="B260" s="19"/>
      <c r="C260" s="19"/>
      <c r="D260" s="19"/>
      <c r="E260" s="19"/>
      <c r="F260" s="19"/>
      <c r="G260" s="19"/>
      <c r="H260" s="19"/>
      <c r="I260" s="19"/>
      <c r="J260" s="19"/>
      <c r="K260" s="19"/>
    </row>
    <row r="261"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>
      <c r="B262" s="19"/>
      <c r="C262" s="19"/>
      <c r="D262" s="19"/>
      <c r="E262" s="19"/>
      <c r="F262" s="19"/>
      <c r="G262" s="19"/>
      <c r="H262" s="19"/>
      <c r="I262" s="19"/>
      <c r="J262" s="19"/>
      <c r="K262" s="19"/>
    </row>
    <row r="263"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>
      <c r="B264" s="19"/>
      <c r="C264" s="19"/>
      <c r="D264" s="19"/>
      <c r="E264" s="19"/>
      <c r="F264" s="19"/>
      <c r="G264" s="19"/>
      <c r="H264" s="19"/>
      <c r="I264" s="19"/>
      <c r="J264" s="19"/>
      <c r="K264" s="19"/>
    </row>
    <row r="265"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>
      <c r="B266" s="19"/>
      <c r="C266" s="19"/>
      <c r="D266" s="19"/>
      <c r="E266" s="19"/>
      <c r="F266" s="19"/>
      <c r="G266" s="19"/>
      <c r="H266" s="19"/>
      <c r="I266" s="19"/>
      <c r="J266" s="19"/>
      <c r="K266" s="19"/>
    </row>
    <row r="267"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>
      <c r="B268" s="19"/>
      <c r="C268" s="19"/>
      <c r="D268" s="19"/>
      <c r="E268" s="19"/>
      <c r="F268" s="19"/>
      <c r="G268" s="19"/>
      <c r="H268" s="19"/>
      <c r="I268" s="19"/>
      <c r="J268" s="19"/>
      <c r="K268" s="19"/>
    </row>
    <row r="269"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>
      <c r="B270" s="19"/>
      <c r="C270" s="19"/>
      <c r="D270" s="19"/>
      <c r="E270" s="19"/>
      <c r="F270" s="19"/>
      <c r="G270" s="19"/>
      <c r="H270" s="19"/>
      <c r="I270" s="19"/>
      <c r="J270" s="19"/>
      <c r="K270" s="19"/>
    </row>
    <row r="271"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>
      <c r="B272" s="19"/>
      <c r="C272" s="19"/>
      <c r="D272" s="19"/>
      <c r="E272" s="19"/>
      <c r="F272" s="19"/>
      <c r="G272" s="19"/>
      <c r="H272" s="19"/>
      <c r="I272" s="19"/>
      <c r="J272" s="19"/>
      <c r="K272" s="19"/>
    </row>
    <row r="273"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>
      <c r="B274" s="19"/>
      <c r="C274" s="19"/>
      <c r="D274" s="19"/>
      <c r="E274" s="19"/>
      <c r="F274" s="19"/>
      <c r="G274" s="19"/>
      <c r="H274" s="19"/>
      <c r="I274" s="19"/>
      <c r="J274" s="19"/>
      <c r="K274" s="19"/>
    </row>
    <row r="275"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>
      <c r="B276" s="19"/>
      <c r="C276" s="19"/>
      <c r="D276" s="19"/>
      <c r="E276" s="19"/>
      <c r="F276" s="19"/>
      <c r="G276" s="19"/>
      <c r="H276" s="19"/>
      <c r="I276" s="19"/>
      <c r="J276" s="19"/>
      <c r="K276" s="19"/>
    </row>
    <row r="277"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>
      <c r="B278" s="19"/>
      <c r="C278" s="19"/>
      <c r="D278" s="19"/>
      <c r="E278" s="19"/>
      <c r="F278" s="19"/>
      <c r="G278" s="19"/>
      <c r="H278" s="19"/>
      <c r="I278" s="19"/>
      <c r="J278" s="19"/>
      <c r="K278" s="19"/>
    </row>
    <row r="279"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>
      <c r="B280" s="19"/>
      <c r="C280" s="19"/>
      <c r="D280" s="19"/>
      <c r="E280" s="19"/>
      <c r="F280" s="19"/>
      <c r="G280" s="19"/>
      <c r="H280" s="19"/>
      <c r="I280" s="19"/>
      <c r="J280" s="19"/>
      <c r="K280" s="19"/>
    </row>
    <row r="281"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>
      <c r="B282" s="19"/>
      <c r="C282" s="19"/>
      <c r="D282" s="19"/>
      <c r="E282" s="19"/>
      <c r="F282" s="19"/>
      <c r="G282" s="19"/>
      <c r="H282" s="19"/>
      <c r="I282" s="19"/>
      <c r="J282" s="19"/>
      <c r="K282" s="19"/>
    </row>
    <row r="283"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>
      <c r="B284" s="19"/>
      <c r="C284" s="19"/>
      <c r="D284" s="19"/>
      <c r="E284" s="19"/>
      <c r="F284" s="19"/>
      <c r="G284" s="19"/>
      <c r="H284" s="19"/>
      <c r="I284" s="19"/>
      <c r="J284" s="19"/>
      <c r="K284" s="19"/>
    </row>
    <row r="285"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>
      <c r="B286" s="19"/>
      <c r="C286" s="19"/>
      <c r="D286" s="19"/>
      <c r="E286" s="19"/>
      <c r="F286" s="19"/>
      <c r="G286" s="19"/>
      <c r="H286" s="19"/>
      <c r="I286" s="19"/>
      <c r="J286" s="19"/>
      <c r="K286" s="19"/>
    </row>
    <row r="287"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>
      <c r="B288" s="19"/>
      <c r="C288" s="19"/>
      <c r="D288" s="19"/>
      <c r="E288" s="19"/>
      <c r="F288" s="19"/>
      <c r="G288" s="19"/>
      <c r="H288" s="19"/>
      <c r="I288" s="19"/>
      <c r="J288" s="19"/>
      <c r="K288" s="19"/>
    </row>
    <row r="289"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>
      <c r="B290" s="19"/>
      <c r="C290" s="19"/>
      <c r="D290" s="19"/>
      <c r="E290" s="19"/>
      <c r="F290" s="19"/>
      <c r="G290" s="19"/>
      <c r="H290" s="19"/>
      <c r="I290" s="19"/>
      <c r="J290" s="19"/>
      <c r="K290" s="19"/>
    </row>
    <row r="291"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>
      <c r="B292" s="19"/>
      <c r="C292" s="19"/>
      <c r="D292" s="19"/>
      <c r="E292" s="19"/>
      <c r="F292" s="19"/>
      <c r="G292" s="19"/>
      <c r="H292" s="19"/>
      <c r="I292" s="19"/>
      <c r="J292" s="19"/>
      <c r="K292" s="19"/>
    </row>
    <row r="293"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>
      <c r="B294" s="19"/>
      <c r="C294" s="19"/>
      <c r="D294" s="19"/>
      <c r="E294" s="19"/>
      <c r="F294" s="19"/>
      <c r="G294" s="19"/>
      <c r="H294" s="19"/>
      <c r="I294" s="19"/>
      <c r="J294" s="19"/>
      <c r="K294" s="19"/>
    </row>
    <row r="295"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>
      <c r="B296" s="19"/>
      <c r="C296" s="19"/>
      <c r="D296" s="19"/>
      <c r="E296" s="19"/>
      <c r="F296" s="19"/>
      <c r="G296" s="19"/>
      <c r="H296" s="19"/>
      <c r="I296" s="19"/>
      <c r="J296" s="19"/>
      <c r="K296" s="19"/>
    </row>
    <row r="297"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>
      <c r="B298" s="19"/>
      <c r="C298" s="19"/>
      <c r="D298" s="19"/>
      <c r="E298" s="19"/>
      <c r="F298" s="19"/>
      <c r="G298" s="19"/>
      <c r="H298" s="19"/>
      <c r="I298" s="19"/>
      <c r="J298" s="19"/>
      <c r="K298" s="19"/>
    </row>
    <row r="299"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>
      <c r="B300" s="19"/>
      <c r="C300" s="19"/>
      <c r="D300" s="19"/>
      <c r="E300" s="19"/>
      <c r="F300" s="19"/>
      <c r="G300" s="19"/>
      <c r="H300" s="19"/>
      <c r="I300" s="19"/>
      <c r="J300" s="19"/>
      <c r="K300" s="19"/>
    </row>
    <row r="301"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>
      <c r="B302" s="19"/>
      <c r="C302" s="19"/>
      <c r="D302" s="19"/>
      <c r="E302" s="19"/>
      <c r="F302" s="19"/>
      <c r="G302" s="19"/>
      <c r="H302" s="19"/>
      <c r="I302" s="19"/>
      <c r="J302" s="19"/>
      <c r="K302" s="19"/>
    </row>
    <row r="303"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>
      <c r="B304" s="19"/>
      <c r="C304" s="19"/>
      <c r="D304" s="19"/>
      <c r="E304" s="19"/>
      <c r="F304" s="19"/>
      <c r="G304" s="19"/>
      <c r="H304" s="19"/>
      <c r="I304" s="19"/>
      <c r="J304" s="19"/>
      <c r="K304" s="19"/>
    </row>
    <row r="305"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>
      <c r="B306" s="19"/>
      <c r="C306" s="19"/>
      <c r="D306" s="19"/>
      <c r="E306" s="19"/>
      <c r="F306" s="19"/>
      <c r="G306" s="19"/>
      <c r="H306" s="19"/>
      <c r="I306" s="19"/>
      <c r="J306" s="19"/>
      <c r="K306" s="19"/>
    </row>
    <row r="307"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>
      <c r="B308" s="19"/>
      <c r="C308" s="19"/>
      <c r="D308" s="19"/>
      <c r="E308" s="19"/>
      <c r="F308" s="19"/>
      <c r="G308" s="19"/>
      <c r="H308" s="19"/>
      <c r="I308" s="19"/>
      <c r="J308" s="19"/>
      <c r="K308" s="19"/>
    </row>
    <row r="309"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>
      <c r="B310" s="19"/>
      <c r="C310" s="19"/>
      <c r="D310" s="19"/>
      <c r="E310" s="19"/>
      <c r="F310" s="19"/>
      <c r="G310" s="19"/>
      <c r="H310" s="19"/>
      <c r="I310" s="19"/>
      <c r="J310" s="19"/>
      <c r="K310" s="19"/>
    </row>
    <row r="311"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>
      <c r="B312" s="19"/>
      <c r="C312" s="19"/>
      <c r="D312" s="19"/>
      <c r="E312" s="19"/>
      <c r="F312" s="19"/>
      <c r="G312" s="19"/>
      <c r="H312" s="19"/>
      <c r="I312" s="19"/>
      <c r="J312" s="19"/>
      <c r="K312" s="19"/>
    </row>
    <row r="313"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>
      <c r="B314" s="19"/>
      <c r="C314" s="19"/>
      <c r="D314" s="19"/>
      <c r="E314" s="19"/>
      <c r="F314" s="19"/>
      <c r="G314" s="19"/>
      <c r="H314" s="19"/>
      <c r="I314" s="19"/>
      <c r="J314" s="19"/>
      <c r="K314" s="19"/>
    </row>
    <row r="315"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>
      <c r="B316" s="19"/>
      <c r="C316" s="19"/>
      <c r="D316" s="19"/>
      <c r="E316" s="19"/>
      <c r="F316" s="19"/>
      <c r="G316" s="19"/>
      <c r="H316" s="19"/>
      <c r="I316" s="19"/>
      <c r="J316" s="19"/>
      <c r="K316" s="19"/>
    </row>
    <row r="317"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>
      <c r="B318" s="19"/>
      <c r="C318" s="19"/>
      <c r="D318" s="19"/>
      <c r="E318" s="19"/>
      <c r="F318" s="19"/>
      <c r="G318" s="19"/>
      <c r="H318" s="19"/>
      <c r="I318" s="19"/>
      <c r="J318" s="19"/>
      <c r="K318" s="19"/>
    </row>
    <row r="319"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>
      <c r="B320" s="19"/>
      <c r="C320" s="19"/>
      <c r="D320" s="19"/>
      <c r="E320" s="19"/>
      <c r="F320" s="19"/>
      <c r="G320" s="19"/>
      <c r="H320" s="19"/>
      <c r="I320" s="19"/>
      <c r="J320" s="19"/>
      <c r="K320" s="19"/>
    </row>
    <row r="321"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>
      <c r="B322" s="19"/>
      <c r="C322" s="19"/>
      <c r="D322" s="19"/>
      <c r="E322" s="19"/>
      <c r="F322" s="19"/>
      <c r="G322" s="19"/>
      <c r="H322" s="19"/>
      <c r="I322" s="19"/>
      <c r="J322" s="19"/>
      <c r="K322" s="19"/>
    </row>
    <row r="323"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>
      <c r="B324" s="19"/>
      <c r="C324" s="19"/>
      <c r="D324" s="19"/>
      <c r="E324" s="19"/>
      <c r="F324" s="19"/>
      <c r="G324" s="19"/>
      <c r="H324" s="19"/>
      <c r="I324" s="19"/>
      <c r="J324" s="19"/>
      <c r="K324" s="19"/>
    </row>
    <row r="325"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>
      <c r="B326" s="19"/>
      <c r="C326" s="19"/>
      <c r="D326" s="19"/>
      <c r="E326" s="19"/>
      <c r="F326" s="19"/>
      <c r="G326" s="19"/>
      <c r="H326" s="19"/>
      <c r="I326" s="19"/>
      <c r="J326" s="19"/>
      <c r="K326" s="19"/>
    </row>
    <row r="327"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>
      <c r="B328" s="19"/>
      <c r="C328" s="19"/>
      <c r="D328" s="19"/>
      <c r="E328" s="19"/>
      <c r="F328" s="19"/>
      <c r="G328" s="19"/>
      <c r="H328" s="19"/>
      <c r="I328" s="19"/>
      <c r="J328" s="19"/>
      <c r="K328" s="19"/>
    </row>
    <row r="329"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>
      <c r="B330" s="19"/>
      <c r="C330" s="19"/>
      <c r="D330" s="19"/>
      <c r="E330" s="19"/>
      <c r="F330" s="19"/>
      <c r="G330" s="19"/>
      <c r="H330" s="19"/>
      <c r="I330" s="19"/>
      <c r="J330" s="19"/>
      <c r="K330" s="19"/>
    </row>
    <row r="331"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>
      <c r="B332" s="19"/>
      <c r="C332" s="19"/>
      <c r="D332" s="19"/>
      <c r="E332" s="19"/>
      <c r="F332" s="19"/>
      <c r="G332" s="19"/>
      <c r="H332" s="19"/>
      <c r="I332" s="19"/>
      <c r="J332" s="19"/>
      <c r="K332" s="19"/>
    </row>
    <row r="333"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>
      <c r="B334" s="19"/>
      <c r="C334" s="19"/>
      <c r="D334" s="19"/>
      <c r="E334" s="19"/>
      <c r="F334" s="19"/>
      <c r="G334" s="19"/>
      <c r="H334" s="19"/>
      <c r="I334" s="19"/>
      <c r="J334" s="19"/>
      <c r="K334" s="19"/>
    </row>
    <row r="335"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>
      <c r="B336" s="19"/>
      <c r="C336" s="19"/>
      <c r="D336" s="19"/>
      <c r="E336" s="19"/>
      <c r="F336" s="19"/>
      <c r="G336" s="19"/>
      <c r="H336" s="19"/>
      <c r="I336" s="19"/>
      <c r="J336" s="19"/>
      <c r="K336" s="19"/>
    </row>
    <row r="337"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>
      <c r="B338" s="19"/>
      <c r="C338" s="19"/>
      <c r="D338" s="19"/>
      <c r="E338" s="19"/>
      <c r="F338" s="19"/>
      <c r="G338" s="19"/>
      <c r="H338" s="19"/>
      <c r="I338" s="19"/>
      <c r="J338" s="19"/>
      <c r="K338" s="19"/>
    </row>
    <row r="339"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>
      <c r="B340" s="19"/>
      <c r="C340" s="19"/>
      <c r="D340" s="19"/>
      <c r="E340" s="19"/>
      <c r="F340" s="19"/>
      <c r="G340" s="19"/>
      <c r="H340" s="19"/>
      <c r="I340" s="19"/>
      <c r="J340" s="19"/>
      <c r="K340" s="19"/>
    </row>
    <row r="341"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>
      <c r="B342" s="19"/>
      <c r="C342" s="19"/>
      <c r="D342" s="19"/>
      <c r="E342" s="19"/>
      <c r="F342" s="19"/>
      <c r="G342" s="19"/>
      <c r="H342" s="19"/>
      <c r="I342" s="19"/>
      <c r="J342" s="19"/>
      <c r="K342" s="19"/>
    </row>
    <row r="343"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>
      <c r="B344" s="19"/>
      <c r="C344" s="19"/>
      <c r="D344" s="19"/>
      <c r="E344" s="19"/>
      <c r="F344" s="19"/>
      <c r="G344" s="19"/>
      <c r="H344" s="19"/>
      <c r="I344" s="19"/>
      <c r="J344" s="19"/>
      <c r="K344" s="19"/>
    </row>
    <row r="345"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>
      <c r="B346" s="19"/>
      <c r="C346" s="19"/>
      <c r="D346" s="19"/>
      <c r="E346" s="19"/>
      <c r="F346" s="19"/>
      <c r="G346" s="19"/>
      <c r="H346" s="19"/>
      <c r="I346" s="19"/>
      <c r="J346" s="19"/>
      <c r="K346" s="19"/>
    </row>
    <row r="347"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>
      <c r="B348" s="19"/>
      <c r="C348" s="19"/>
      <c r="D348" s="19"/>
      <c r="E348" s="19"/>
      <c r="F348" s="19"/>
      <c r="G348" s="19"/>
      <c r="H348" s="19"/>
      <c r="I348" s="19"/>
      <c r="J348" s="19"/>
      <c r="K348" s="19"/>
    </row>
    <row r="349"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>
      <c r="B350" s="19"/>
      <c r="C350" s="19"/>
      <c r="D350" s="19"/>
      <c r="E350" s="19"/>
      <c r="F350" s="19"/>
      <c r="G350" s="19"/>
      <c r="H350" s="19"/>
      <c r="I350" s="19"/>
      <c r="J350" s="19"/>
      <c r="K350" s="19"/>
    </row>
    <row r="351"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>
      <c r="B352" s="19"/>
      <c r="C352" s="19"/>
      <c r="D352" s="19"/>
      <c r="E352" s="19"/>
      <c r="F352" s="19"/>
      <c r="G352" s="19"/>
      <c r="H352" s="19"/>
      <c r="I352" s="19"/>
      <c r="J352" s="19"/>
      <c r="K352" s="19"/>
    </row>
    <row r="353"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>
      <c r="B354" s="19"/>
      <c r="C354" s="19"/>
      <c r="D354" s="19"/>
      <c r="E354" s="19"/>
      <c r="F354" s="19"/>
      <c r="G354" s="19"/>
      <c r="H354" s="19"/>
      <c r="I354" s="19"/>
      <c r="J354" s="19"/>
      <c r="K354" s="19"/>
    </row>
    <row r="355"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>
      <c r="B356" s="19"/>
      <c r="C356" s="19"/>
      <c r="D356" s="19"/>
      <c r="E356" s="19"/>
      <c r="F356" s="19"/>
      <c r="G356" s="19"/>
      <c r="H356" s="19"/>
      <c r="I356" s="19"/>
      <c r="J356" s="19"/>
      <c r="K356" s="19"/>
    </row>
    <row r="357"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>
      <c r="B358" s="19"/>
      <c r="C358" s="19"/>
      <c r="D358" s="19"/>
      <c r="E358" s="19"/>
      <c r="F358" s="19"/>
      <c r="G358" s="19"/>
      <c r="H358" s="19"/>
      <c r="I358" s="19"/>
      <c r="J358" s="19"/>
      <c r="K358" s="19"/>
    </row>
    <row r="359"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>
      <c r="B360" s="19"/>
      <c r="C360" s="19"/>
      <c r="D360" s="19"/>
      <c r="E360" s="19"/>
      <c r="F360" s="19"/>
      <c r="G360" s="19"/>
      <c r="H360" s="19"/>
      <c r="I360" s="19"/>
      <c r="J360" s="19"/>
      <c r="K360" s="19"/>
    </row>
    <row r="361"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>
      <c r="B362" s="19"/>
      <c r="C362" s="19"/>
      <c r="D362" s="19"/>
      <c r="E362" s="19"/>
      <c r="F362" s="19"/>
      <c r="G362" s="19"/>
      <c r="H362" s="19"/>
      <c r="I362" s="19"/>
      <c r="J362" s="19"/>
      <c r="K362" s="19"/>
    </row>
    <row r="363"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>
      <c r="B364" s="19"/>
      <c r="C364" s="19"/>
      <c r="D364" s="19"/>
      <c r="E364" s="19"/>
      <c r="F364" s="19"/>
      <c r="G364" s="19"/>
      <c r="H364" s="19"/>
      <c r="I364" s="19"/>
      <c r="J364" s="19"/>
      <c r="K364" s="19"/>
    </row>
    <row r="365"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>
      <c r="B366" s="19"/>
      <c r="C366" s="19"/>
      <c r="D366" s="19"/>
      <c r="E366" s="19"/>
      <c r="F366" s="19"/>
      <c r="G366" s="19"/>
      <c r="H366" s="19"/>
      <c r="I366" s="19"/>
      <c r="J366" s="19"/>
      <c r="K366" s="19"/>
    </row>
    <row r="367"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>
      <c r="B368" s="19"/>
      <c r="C368" s="19"/>
      <c r="D368" s="19"/>
      <c r="E368" s="19"/>
      <c r="F368" s="19"/>
      <c r="G368" s="19"/>
      <c r="H368" s="19"/>
      <c r="I368" s="19"/>
      <c r="J368" s="19"/>
      <c r="K368" s="19"/>
    </row>
    <row r="369"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>
      <c r="B370" s="19"/>
      <c r="C370" s="19"/>
      <c r="D370" s="19"/>
      <c r="E370" s="19"/>
      <c r="F370" s="19"/>
      <c r="G370" s="19"/>
      <c r="H370" s="19"/>
      <c r="I370" s="19"/>
      <c r="J370" s="19"/>
      <c r="K370" s="19"/>
    </row>
    <row r="371"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>
      <c r="B372" s="19"/>
      <c r="C372" s="19"/>
      <c r="D372" s="19"/>
      <c r="E372" s="19"/>
      <c r="F372" s="19"/>
      <c r="G372" s="19"/>
      <c r="H372" s="19"/>
      <c r="I372" s="19"/>
      <c r="J372" s="19"/>
      <c r="K372" s="19"/>
    </row>
    <row r="373"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>
      <c r="B374" s="19"/>
      <c r="C374" s="19"/>
      <c r="D374" s="19"/>
      <c r="E374" s="19"/>
      <c r="F374" s="19"/>
      <c r="G374" s="19"/>
      <c r="H374" s="19"/>
      <c r="I374" s="19"/>
      <c r="J374" s="19"/>
      <c r="K374" s="19"/>
    </row>
    <row r="375"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>
      <c r="B376" s="19"/>
      <c r="C376" s="19"/>
      <c r="D376" s="19"/>
      <c r="E376" s="19"/>
      <c r="F376" s="19"/>
      <c r="G376" s="19"/>
      <c r="H376" s="19"/>
      <c r="I376" s="19"/>
      <c r="J376" s="19"/>
      <c r="K376" s="19"/>
    </row>
    <row r="377"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>
      <c r="B378" s="19"/>
      <c r="C378" s="19"/>
      <c r="D378" s="19"/>
      <c r="E378" s="19"/>
      <c r="F378" s="19"/>
      <c r="G378" s="19"/>
      <c r="H378" s="19"/>
      <c r="I378" s="19"/>
      <c r="J378" s="19"/>
      <c r="K378" s="19"/>
    </row>
    <row r="379"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>
      <c r="B380" s="19"/>
      <c r="C380" s="19"/>
      <c r="D380" s="19"/>
      <c r="E380" s="19"/>
      <c r="F380" s="19"/>
      <c r="G380" s="19"/>
      <c r="H380" s="19"/>
      <c r="I380" s="19"/>
      <c r="J380" s="19"/>
      <c r="K380" s="19"/>
    </row>
    <row r="381"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>
      <c r="B382" s="19"/>
      <c r="C382" s="19"/>
      <c r="D382" s="19"/>
      <c r="E382" s="19"/>
      <c r="F382" s="19"/>
      <c r="G382" s="19"/>
      <c r="H382" s="19"/>
      <c r="I382" s="19"/>
      <c r="J382" s="19"/>
      <c r="K382" s="19"/>
    </row>
    <row r="383"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>
      <c r="B384" s="19"/>
      <c r="C384" s="19"/>
      <c r="D384" s="19"/>
      <c r="E384" s="19"/>
      <c r="F384" s="19"/>
      <c r="G384" s="19"/>
      <c r="H384" s="19"/>
      <c r="I384" s="19"/>
      <c r="J384" s="19"/>
      <c r="K384" s="19"/>
    </row>
    <row r="385"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>
      <c r="B386" s="19"/>
      <c r="C386" s="19"/>
      <c r="D386" s="19"/>
      <c r="E386" s="19"/>
      <c r="F386" s="19"/>
      <c r="G386" s="19"/>
      <c r="H386" s="19"/>
      <c r="I386" s="19"/>
      <c r="J386" s="19"/>
      <c r="K386" s="19"/>
    </row>
    <row r="387"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>
      <c r="B388" s="19"/>
      <c r="C388" s="19"/>
      <c r="D388" s="19"/>
      <c r="E388" s="19"/>
      <c r="F388" s="19"/>
      <c r="G388" s="19"/>
      <c r="H388" s="19"/>
      <c r="I388" s="19"/>
      <c r="J388" s="19"/>
      <c r="K388" s="19"/>
    </row>
    <row r="389"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>
      <c r="B390" s="19"/>
      <c r="C390" s="19"/>
      <c r="D390" s="19"/>
      <c r="E390" s="19"/>
      <c r="F390" s="19"/>
      <c r="G390" s="19"/>
      <c r="H390" s="19"/>
      <c r="I390" s="19"/>
      <c r="J390" s="19"/>
      <c r="K390" s="19"/>
    </row>
    <row r="391"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>
      <c r="B392" s="19"/>
      <c r="C392" s="19"/>
      <c r="D392" s="19"/>
      <c r="E392" s="19"/>
      <c r="F392" s="19"/>
      <c r="G392" s="19"/>
      <c r="H392" s="19"/>
      <c r="I392" s="19"/>
      <c r="J392" s="19"/>
      <c r="K392" s="19"/>
    </row>
    <row r="393"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>
      <c r="B394" s="19"/>
      <c r="C394" s="19"/>
      <c r="D394" s="19"/>
      <c r="E394" s="19"/>
      <c r="F394" s="19"/>
      <c r="G394" s="19"/>
      <c r="H394" s="19"/>
      <c r="I394" s="19"/>
      <c r="J394" s="19"/>
      <c r="K394" s="19"/>
    </row>
    <row r="395"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>
      <c r="B396" s="19"/>
      <c r="C396" s="19"/>
      <c r="D396" s="19"/>
      <c r="E396" s="19"/>
      <c r="F396" s="19"/>
      <c r="G396" s="19"/>
      <c r="H396" s="19"/>
      <c r="I396" s="19"/>
      <c r="J396" s="19"/>
      <c r="K396" s="19"/>
    </row>
    <row r="397"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>
      <c r="B398" s="19"/>
      <c r="C398" s="19"/>
      <c r="D398" s="19"/>
      <c r="E398" s="19"/>
      <c r="F398" s="19"/>
      <c r="G398" s="19"/>
      <c r="H398" s="19"/>
      <c r="I398" s="19"/>
      <c r="J398" s="19"/>
      <c r="K398" s="19"/>
    </row>
    <row r="399"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>
      <c r="B400" s="19"/>
      <c r="C400" s="19"/>
      <c r="D400" s="19"/>
      <c r="E400" s="19"/>
      <c r="F400" s="19"/>
      <c r="G400" s="19"/>
      <c r="H400" s="19"/>
      <c r="I400" s="19"/>
      <c r="J400" s="19"/>
      <c r="K400" s="19"/>
    </row>
    <row r="401"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>
      <c r="B402" s="19"/>
      <c r="C402" s="19"/>
      <c r="D402" s="19"/>
      <c r="E402" s="19"/>
      <c r="F402" s="19"/>
      <c r="G402" s="19"/>
      <c r="H402" s="19"/>
      <c r="I402" s="19"/>
      <c r="J402" s="19"/>
      <c r="K402" s="19"/>
    </row>
    <row r="403"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>
      <c r="B404" s="19"/>
      <c r="C404" s="19"/>
      <c r="D404" s="19"/>
      <c r="E404" s="19"/>
      <c r="F404" s="19"/>
      <c r="G404" s="19"/>
      <c r="H404" s="19"/>
      <c r="I404" s="19"/>
      <c r="J404" s="19"/>
      <c r="K404" s="19"/>
    </row>
    <row r="405"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>
      <c r="B406" s="19"/>
      <c r="C406" s="19"/>
      <c r="D406" s="19"/>
      <c r="E406" s="19"/>
      <c r="F406" s="19"/>
      <c r="G406" s="19"/>
      <c r="H406" s="19"/>
      <c r="I406" s="19"/>
      <c r="J406" s="19"/>
      <c r="K406" s="19"/>
    </row>
    <row r="407"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>
      <c r="B408" s="19"/>
      <c r="C408" s="19"/>
      <c r="D408" s="19"/>
      <c r="E408" s="19"/>
      <c r="F408" s="19"/>
      <c r="G408" s="19"/>
      <c r="H408" s="19"/>
      <c r="I408" s="19"/>
      <c r="J408" s="19"/>
      <c r="K408" s="19"/>
    </row>
    <row r="409"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>
      <c r="B410" s="19"/>
      <c r="C410" s="19"/>
      <c r="D410" s="19"/>
      <c r="E410" s="19"/>
      <c r="F410" s="19"/>
      <c r="G410" s="19"/>
      <c r="H410" s="19"/>
      <c r="I410" s="19"/>
      <c r="J410" s="19"/>
      <c r="K410" s="19"/>
    </row>
    <row r="411"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>
      <c r="B412" s="19"/>
      <c r="C412" s="19"/>
      <c r="D412" s="19"/>
      <c r="E412" s="19"/>
      <c r="F412" s="19"/>
      <c r="G412" s="19"/>
      <c r="H412" s="19"/>
      <c r="I412" s="19"/>
      <c r="J412" s="19"/>
      <c r="K412" s="19"/>
    </row>
    <row r="413"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>
      <c r="B414" s="19"/>
      <c r="C414" s="19"/>
      <c r="D414" s="19"/>
      <c r="E414" s="19"/>
      <c r="F414" s="19"/>
      <c r="G414" s="19"/>
      <c r="H414" s="19"/>
      <c r="I414" s="19"/>
      <c r="J414" s="19"/>
      <c r="K414" s="19"/>
    </row>
    <row r="415"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>
      <c r="B416" s="19"/>
      <c r="C416" s="19"/>
      <c r="D416" s="19"/>
      <c r="E416" s="19"/>
      <c r="F416" s="19"/>
      <c r="G416" s="19"/>
      <c r="H416" s="19"/>
      <c r="I416" s="19"/>
      <c r="J416" s="19"/>
      <c r="K416" s="19"/>
    </row>
    <row r="417"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>
      <c r="B418" s="19"/>
      <c r="C418" s="19"/>
      <c r="D418" s="19"/>
      <c r="E418" s="19"/>
      <c r="F418" s="19"/>
      <c r="G418" s="19"/>
      <c r="H418" s="19"/>
      <c r="I418" s="19"/>
      <c r="J418" s="19"/>
      <c r="K418" s="19"/>
    </row>
    <row r="419"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>
      <c r="B420" s="19"/>
      <c r="C420" s="19"/>
      <c r="D420" s="19"/>
      <c r="E420" s="19"/>
      <c r="F420" s="19"/>
      <c r="G420" s="19"/>
      <c r="H420" s="19"/>
      <c r="I420" s="19"/>
      <c r="J420" s="19"/>
      <c r="K420" s="19"/>
    </row>
    <row r="421"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>
      <c r="B422" s="19"/>
      <c r="C422" s="19"/>
      <c r="D422" s="19"/>
      <c r="E422" s="19"/>
      <c r="F422" s="19"/>
      <c r="G422" s="19"/>
      <c r="H422" s="19"/>
      <c r="I422" s="19"/>
      <c r="J422" s="19"/>
      <c r="K422" s="19"/>
    </row>
    <row r="423"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>
      <c r="B424" s="19"/>
      <c r="C424" s="19"/>
      <c r="D424" s="19"/>
      <c r="E424" s="19"/>
      <c r="F424" s="19"/>
      <c r="G424" s="19"/>
      <c r="H424" s="19"/>
      <c r="I424" s="19"/>
      <c r="J424" s="19"/>
      <c r="K424" s="19"/>
    </row>
    <row r="425"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>
      <c r="B426" s="19"/>
      <c r="C426" s="19"/>
      <c r="D426" s="19"/>
      <c r="E426" s="19"/>
      <c r="F426" s="19"/>
      <c r="G426" s="19"/>
      <c r="H426" s="19"/>
      <c r="I426" s="19"/>
      <c r="J426" s="19"/>
      <c r="K426" s="19"/>
    </row>
    <row r="427"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>
      <c r="B428" s="19"/>
      <c r="C428" s="19"/>
      <c r="D428" s="19"/>
      <c r="E428" s="19"/>
      <c r="F428" s="19"/>
      <c r="G428" s="19"/>
      <c r="H428" s="19"/>
      <c r="I428" s="19"/>
      <c r="J428" s="19"/>
      <c r="K428" s="19"/>
    </row>
    <row r="429"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>
      <c r="B430" s="19"/>
      <c r="C430" s="19"/>
      <c r="D430" s="19"/>
      <c r="E430" s="19"/>
      <c r="F430" s="19"/>
      <c r="G430" s="19"/>
      <c r="H430" s="19"/>
      <c r="I430" s="19"/>
      <c r="J430" s="19"/>
      <c r="K430" s="19"/>
    </row>
    <row r="431"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>
      <c r="B432" s="19"/>
      <c r="C432" s="19"/>
      <c r="D432" s="19"/>
      <c r="E432" s="19"/>
      <c r="F432" s="19"/>
      <c r="G432" s="19"/>
      <c r="H432" s="19"/>
      <c r="I432" s="19"/>
      <c r="J432" s="19"/>
      <c r="K432" s="19"/>
    </row>
    <row r="433"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>
      <c r="B434" s="19"/>
      <c r="C434" s="19"/>
      <c r="D434" s="19"/>
      <c r="E434" s="19"/>
      <c r="F434" s="19"/>
      <c r="G434" s="19"/>
      <c r="H434" s="19"/>
      <c r="I434" s="19"/>
      <c r="J434" s="19"/>
      <c r="K434" s="19"/>
    </row>
    <row r="435"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>
      <c r="B436" s="19"/>
      <c r="C436" s="19"/>
      <c r="D436" s="19"/>
      <c r="E436" s="19"/>
      <c r="F436" s="19"/>
      <c r="G436" s="19"/>
      <c r="H436" s="19"/>
      <c r="I436" s="19"/>
      <c r="J436" s="19"/>
      <c r="K436" s="19"/>
    </row>
    <row r="437"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>
      <c r="B438" s="19"/>
      <c r="C438" s="19"/>
      <c r="D438" s="19"/>
      <c r="E438" s="19"/>
      <c r="F438" s="19"/>
      <c r="G438" s="19"/>
      <c r="H438" s="19"/>
      <c r="I438" s="19"/>
      <c r="J438" s="19"/>
      <c r="K438" s="19"/>
    </row>
    <row r="439"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>
      <c r="B440" s="19"/>
      <c r="C440" s="19"/>
      <c r="D440" s="19"/>
      <c r="E440" s="19"/>
      <c r="F440" s="19"/>
      <c r="G440" s="19"/>
      <c r="H440" s="19"/>
      <c r="I440" s="19"/>
      <c r="J440" s="19"/>
      <c r="K440" s="19"/>
    </row>
    <row r="441"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>
      <c r="B442" s="19"/>
      <c r="C442" s="19"/>
      <c r="D442" s="19"/>
      <c r="E442" s="19"/>
      <c r="F442" s="19"/>
      <c r="G442" s="19"/>
      <c r="H442" s="19"/>
      <c r="I442" s="19"/>
      <c r="J442" s="19"/>
      <c r="K442" s="19"/>
    </row>
    <row r="443"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>
      <c r="B444" s="19"/>
      <c r="C444" s="19"/>
      <c r="D444" s="19"/>
      <c r="E444" s="19"/>
      <c r="F444" s="19"/>
      <c r="G444" s="19"/>
      <c r="H444" s="19"/>
      <c r="I444" s="19"/>
      <c r="J444" s="19"/>
      <c r="K444" s="19"/>
    </row>
    <row r="445"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>
      <c r="B446" s="19"/>
      <c r="C446" s="19"/>
      <c r="D446" s="19"/>
      <c r="E446" s="19"/>
      <c r="F446" s="19"/>
      <c r="G446" s="19"/>
      <c r="H446" s="19"/>
      <c r="I446" s="19"/>
      <c r="J446" s="19"/>
      <c r="K446" s="19"/>
    </row>
    <row r="447"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>
      <c r="B448" s="19"/>
      <c r="C448" s="19"/>
      <c r="D448" s="19"/>
      <c r="E448" s="19"/>
      <c r="F448" s="19"/>
      <c r="G448" s="19"/>
      <c r="H448" s="19"/>
      <c r="I448" s="19"/>
      <c r="J448" s="19"/>
      <c r="K448" s="19"/>
    </row>
    <row r="449"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>
      <c r="B450" s="19"/>
      <c r="C450" s="19"/>
      <c r="D450" s="19"/>
      <c r="E450" s="19"/>
      <c r="F450" s="19"/>
      <c r="G450" s="19"/>
      <c r="H450" s="19"/>
      <c r="I450" s="19"/>
      <c r="J450" s="19"/>
      <c r="K450" s="19"/>
    </row>
    <row r="451"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>
      <c r="B452" s="19"/>
      <c r="C452" s="19"/>
      <c r="D452" s="19"/>
      <c r="E452" s="19"/>
      <c r="F452" s="19"/>
      <c r="G452" s="19"/>
      <c r="H452" s="19"/>
      <c r="I452" s="19"/>
      <c r="J452" s="19"/>
      <c r="K452" s="19"/>
    </row>
    <row r="453"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>
      <c r="B454" s="19"/>
      <c r="C454" s="19"/>
      <c r="D454" s="19"/>
      <c r="E454" s="19"/>
      <c r="F454" s="19"/>
      <c r="G454" s="19"/>
      <c r="H454" s="19"/>
      <c r="I454" s="19"/>
      <c r="J454" s="19"/>
      <c r="K454" s="19"/>
    </row>
    <row r="455"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>
      <c r="B456" s="19"/>
      <c r="C456" s="19"/>
      <c r="D456" s="19"/>
      <c r="E456" s="19"/>
      <c r="F456" s="19"/>
      <c r="G456" s="19"/>
      <c r="H456" s="19"/>
      <c r="I456" s="19"/>
      <c r="J456" s="19"/>
      <c r="K456" s="19"/>
    </row>
    <row r="457"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>
      <c r="B458" s="19"/>
      <c r="C458" s="19"/>
      <c r="D458" s="19"/>
      <c r="E458" s="19"/>
      <c r="F458" s="19"/>
      <c r="G458" s="19"/>
      <c r="H458" s="19"/>
      <c r="I458" s="19"/>
      <c r="J458" s="19"/>
      <c r="K458" s="19"/>
    </row>
    <row r="459"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>
      <c r="B460" s="19"/>
      <c r="C460" s="19"/>
      <c r="D460" s="19"/>
      <c r="E460" s="19"/>
      <c r="F460" s="19"/>
      <c r="G460" s="19"/>
      <c r="H460" s="19"/>
      <c r="I460" s="19"/>
      <c r="J460" s="19"/>
      <c r="K460" s="19"/>
    </row>
    <row r="461"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>
      <c r="B462" s="19"/>
      <c r="C462" s="19"/>
      <c r="D462" s="19"/>
      <c r="E462" s="19"/>
      <c r="F462" s="19"/>
      <c r="G462" s="19"/>
      <c r="H462" s="19"/>
      <c r="I462" s="19"/>
      <c r="J462" s="19"/>
      <c r="K462" s="19"/>
    </row>
    <row r="463"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>
      <c r="B464" s="19"/>
      <c r="C464" s="19"/>
      <c r="D464" s="19"/>
      <c r="E464" s="19"/>
      <c r="F464" s="19"/>
      <c r="G464" s="19"/>
      <c r="H464" s="19"/>
      <c r="I464" s="19"/>
      <c r="J464" s="19"/>
      <c r="K464" s="19"/>
    </row>
    <row r="465"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>
      <c r="B466" s="19"/>
      <c r="C466" s="19"/>
      <c r="D466" s="19"/>
      <c r="E466" s="19"/>
      <c r="F466" s="19"/>
      <c r="G466" s="19"/>
      <c r="H466" s="19"/>
      <c r="I466" s="19"/>
      <c r="J466" s="19"/>
      <c r="K466" s="19"/>
    </row>
    <row r="467"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>
      <c r="B468" s="19"/>
      <c r="C468" s="19"/>
      <c r="D468" s="19"/>
      <c r="E468" s="19"/>
      <c r="F468" s="19"/>
      <c r="G468" s="19"/>
      <c r="H468" s="19"/>
      <c r="I468" s="19"/>
      <c r="J468" s="19"/>
      <c r="K468" s="19"/>
    </row>
    <row r="469"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>
      <c r="B470" s="19"/>
      <c r="C470" s="19"/>
      <c r="D470" s="19"/>
      <c r="E470" s="19"/>
      <c r="F470" s="19"/>
      <c r="G470" s="19"/>
      <c r="H470" s="19"/>
      <c r="I470" s="19"/>
      <c r="J470" s="19"/>
      <c r="K470" s="19"/>
    </row>
    <row r="471"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>
      <c r="B472" s="19"/>
      <c r="C472" s="19"/>
      <c r="D472" s="19"/>
      <c r="E472" s="19"/>
      <c r="F472" s="19"/>
      <c r="G472" s="19"/>
      <c r="H472" s="19"/>
      <c r="I472" s="19"/>
      <c r="J472" s="19"/>
      <c r="K472" s="19"/>
    </row>
    <row r="473"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>
      <c r="B474" s="19"/>
      <c r="C474" s="19"/>
      <c r="D474" s="19"/>
      <c r="E474" s="19"/>
      <c r="F474" s="19"/>
      <c r="G474" s="19"/>
      <c r="H474" s="19"/>
      <c r="I474" s="19"/>
      <c r="J474" s="19"/>
      <c r="K474" s="19"/>
    </row>
    <row r="475"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>
      <c r="B476" s="19"/>
      <c r="C476" s="19"/>
      <c r="D476" s="19"/>
      <c r="E476" s="19"/>
      <c r="F476" s="19"/>
      <c r="G476" s="19"/>
      <c r="H476" s="19"/>
      <c r="I476" s="19"/>
      <c r="J476" s="19"/>
      <c r="K476" s="19"/>
    </row>
    <row r="477"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>
      <c r="B478" s="19"/>
      <c r="C478" s="19"/>
      <c r="D478" s="19"/>
      <c r="E478" s="19"/>
      <c r="F478" s="19"/>
      <c r="G478" s="19"/>
      <c r="H478" s="19"/>
      <c r="I478" s="19"/>
      <c r="J478" s="19"/>
      <c r="K478" s="19"/>
    </row>
    <row r="479"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>
      <c r="B480" s="19"/>
      <c r="C480" s="19"/>
      <c r="D480" s="19"/>
      <c r="E480" s="19"/>
      <c r="F480" s="19"/>
      <c r="G480" s="19"/>
      <c r="H480" s="19"/>
      <c r="I480" s="19"/>
      <c r="J480" s="19"/>
      <c r="K480" s="19"/>
    </row>
    <row r="481"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>
      <c r="B482" s="19"/>
      <c r="C482" s="19"/>
      <c r="D482" s="19"/>
      <c r="E482" s="19"/>
      <c r="F482" s="19"/>
      <c r="G482" s="19"/>
      <c r="H482" s="19"/>
      <c r="I482" s="19"/>
      <c r="J482" s="19"/>
      <c r="K482" s="19"/>
    </row>
    <row r="483"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>
      <c r="B484" s="19"/>
      <c r="C484" s="19"/>
      <c r="D484" s="19"/>
      <c r="E484" s="19"/>
      <c r="F484" s="19"/>
      <c r="G484" s="19"/>
      <c r="H484" s="19"/>
      <c r="I484" s="19"/>
      <c r="J484" s="19"/>
      <c r="K484" s="19"/>
    </row>
    <row r="485"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>
      <c r="B486" s="19"/>
      <c r="C486" s="19"/>
      <c r="D486" s="19"/>
      <c r="E486" s="19"/>
      <c r="F486" s="19"/>
      <c r="G486" s="19"/>
      <c r="H486" s="19"/>
      <c r="I486" s="19"/>
      <c r="J486" s="19"/>
      <c r="K486" s="19"/>
    </row>
    <row r="487"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>
      <c r="B488" s="19"/>
      <c r="C488" s="19"/>
      <c r="D488" s="19"/>
      <c r="E488" s="19"/>
      <c r="F488" s="19"/>
      <c r="G488" s="19"/>
      <c r="H488" s="19"/>
      <c r="I488" s="19"/>
      <c r="J488" s="19"/>
      <c r="K488" s="19"/>
    </row>
    <row r="489"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>
      <c r="B490" s="19"/>
      <c r="C490" s="19"/>
      <c r="D490" s="19"/>
      <c r="E490" s="19"/>
      <c r="F490" s="19"/>
      <c r="G490" s="19"/>
      <c r="H490" s="19"/>
      <c r="I490" s="19"/>
      <c r="J490" s="19"/>
      <c r="K490" s="19"/>
    </row>
    <row r="491"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>
      <c r="B492" s="19"/>
      <c r="C492" s="19"/>
      <c r="D492" s="19"/>
      <c r="E492" s="19"/>
      <c r="F492" s="19"/>
      <c r="G492" s="19"/>
      <c r="H492" s="19"/>
      <c r="I492" s="19"/>
      <c r="J492" s="19"/>
      <c r="K492" s="19"/>
    </row>
    <row r="493"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>
      <c r="B494" s="19"/>
      <c r="C494" s="19"/>
      <c r="D494" s="19"/>
      <c r="E494" s="19"/>
      <c r="F494" s="19"/>
      <c r="G494" s="19"/>
      <c r="H494" s="19"/>
      <c r="I494" s="19"/>
      <c r="J494" s="19"/>
      <c r="K494" s="19"/>
    </row>
    <row r="495"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>
      <c r="B496" s="19"/>
      <c r="C496" s="19"/>
      <c r="D496" s="19"/>
      <c r="E496" s="19"/>
      <c r="F496" s="19"/>
      <c r="G496" s="19"/>
      <c r="H496" s="19"/>
      <c r="I496" s="19"/>
      <c r="J496" s="19"/>
      <c r="K496" s="19"/>
    </row>
    <row r="497"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>
      <c r="B498" s="19"/>
      <c r="C498" s="19"/>
      <c r="D498" s="19"/>
      <c r="E498" s="19"/>
      <c r="F498" s="19"/>
      <c r="G498" s="19"/>
      <c r="H498" s="19"/>
      <c r="I498" s="19"/>
      <c r="J498" s="19"/>
      <c r="K498" s="19"/>
    </row>
    <row r="499"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>
      <c r="B500" s="19"/>
      <c r="C500" s="19"/>
      <c r="D500" s="19"/>
      <c r="E500" s="19"/>
      <c r="F500" s="19"/>
      <c r="G500" s="19"/>
      <c r="H500" s="19"/>
      <c r="I500" s="19"/>
      <c r="J500" s="19"/>
      <c r="K500" s="19"/>
    </row>
    <row r="501"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>
      <c r="B502" s="19"/>
      <c r="C502" s="19"/>
      <c r="D502" s="19"/>
      <c r="E502" s="19"/>
      <c r="F502" s="19"/>
      <c r="G502" s="19"/>
      <c r="H502" s="19"/>
      <c r="I502" s="19"/>
      <c r="J502" s="19"/>
      <c r="K502" s="19"/>
    </row>
    <row r="503"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>
      <c r="B504" s="19"/>
      <c r="C504" s="19"/>
      <c r="D504" s="19"/>
      <c r="E504" s="19"/>
      <c r="F504" s="19"/>
      <c r="G504" s="19"/>
      <c r="H504" s="19"/>
      <c r="I504" s="19"/>
      <c r="J504" s="19"/>
      <c r="K504" s="19"/>
    </row>
    <row r="505"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>
      <c r="B506" s="19"/>
      <c r="C506" s="19"/>
      <c r="D506" s="19"/>
      <c r="E506" s="19"/>
      <c r="F506" s="19"/>
      <c r="G506" s="19"/>
      <c r="H506" s="19"/>
      <c r="I506" s="19"/>
      <c r="J506" s="19"/>
      <c r="K506" s="19"/>
    </row>
    <row r="507"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>
      <c r="B508" s="19"/>
      <c r="C508" s="19"/>
      <c r="D508" s="19"/>
      <c r="E508" s="19"/>
      <c r="F508" s="19"/>
      <c r="G508" s="19"/>
      <c r="H508" s="19"/>
      <c r="I508" s="19"/>
      <c r="J508" s="19"/>
      <c r="K508" s="19"/>
    </row>
    <row r="509"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>
      <c r="B510" s="19"/>
      <c r="C510" s="19"/>
      <c r="D510" s="19"/>
      <c r="E510" s="19"/>
      <c r="F510" s="19"/>
      <c r="G510" s="19"/>
      <c r="H510" s="19"/>
      <c r="I510" s="19"/>
      <c r="J510" s="19"/>
      <c r="K510" s="19"/>
    </row>
    <row r="511"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>
      <c r="B512" s="19"/>
      <c r="C512" s="19"/>
      <c r="D512" s="19"/>
      <c r="E512" s="19"/>
      <c r="F512" s="19"/>
      <c r="G512" s="19"/>
      <c r="H512" s="19"/>
      <c r="I512" s="19"/>
      <c r="J512" s="19"/>
      <c r="K512" s="19"/>
    </row>
    <row r="513"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>
      <c r="B514" s="19"/>
      <c r="C514" s="19"/>
      <c r="D514" s="19"/>
      <c r="E514" s="19"/>
      <c r="F514" s="19"/>
      <c r="G514" s="19"/>
      <c r="H514" s="19"/>
      <c r="I514" s="19"/>
      <c r="J514" s="19"/>
      <c r="K514" s="19"/>
    </row>
    <row r="515"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>
      <c r="B516" s="19"/>
      <c r="C516" s="19"/>
      <c r="D516" s="19"/>
      <c r="E516" s="19"/>
      <c r="F516" s="19"/>
      <c r="G516" s="19"/>
      <c r="H516" s="19"/>
      <c r="I516" s="19"/>
      <c r="J516" s="19"/>
      <c r="K516" s="19"/>
    </row>
    <row r="517"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>
      <c r="B518" s="19"/>
      <c r="C518" s="19"/>
      <c r="D518" s="19"/>
      <c r="E518" s="19"/>
      <c r="F518" s="19"/>
      <c r="G518" s="19"/>
      <c r="H518" s="19"/>
      <c r="I518" s="19"/>
      <c r="J518" s="19"/>
      <c r="K518" s="19"/>
    </row>
    <row r="519"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>
      <c r="B520" s="19"/>
      <c r="C520" s="19"/>
      <c r="D520" s="19"/>
      <c r="E520" s="19"/>
      <c r="F520" s="19"/>
      <c r="G520" s="19"/>
      <c r="H520" s="19"/>
      <c r="I520" s="19"/>
      <c r="J520" s="19"/>
      <c r="K520" s="19"/>
    </row>
    <row r="521"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>
      <c r="B522" s="19"/>
      <c r="C522" s="19"/>
      <c r="D522" s="19"/>
      <c r="E522" s="19"/>
      <c r="F522" s="19"/>
      <c r="G522" s="19"/>
      <c r="H522" s="19"/>
      <c r="I522" s="19"/>
      <c r="J522" s="19"/>
      <c r="K522" s="19"/>
    </row>
    <row r="523"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>
      <c r="B524" s="19"/>
      <c r="C524" s="19"/>
      <c r="D524" s="19"/>
      <c r="E524" s="19"/>
      <c r="F524" s="19"/>
      <c r="G524" s="19"/>
      <c r="H524" s="19"/>
      <c r="I524" s="19"/>
      <c r="J524" s="19"/>
      <c r="K524" s="19"/>
    </row>
    <row r="525"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>
      <c r="B526" s="19"/>
      <c r="C526" s="19"/>
      <c r="D526" s="19"/>
      <c r="E526" s="19"/>
      <c r="F526" s="19"/>
      <c r="G526" s="19"/>
      <c r="H526" s="19"/>
      <c r="I526" s="19"/>
      <c r="J526" s="19"/>
      <c r="K526" s="19"/>
    </row>
    <row r="527"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>
      <c r="B528" s="19"/>
      <c r="C528" s="19"/>
      <c r="D528" s="19"/>
      <c r="E528" s="19"/>
      <c r="F528" s="19"/>
      <c r="G528" s="19"/>
      <c r="H528" s="19"/>
      <c r="I528" s="19"/>
      <c r="J528" s="19"/>
      <c r="K528" s="19"/>
    </row>
    <row r="529"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>
      <c r="B530" s="19"/>
      <c r="C530" s="19"/>
      <c r="D530" s="19"/>
      <c r="E530" s="19"/>
      <c r="F530" s="19"/>
      <c r="G530" s="19"/>
      <c r="H530" s="19"/>
      <c r="I530" s="19"/>
      <c r="J530" s="19"/>
      <c r="K530" s="19"/>
    </row>
    <row r="531"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>
      <c r="B532" s="19"/>
      <c r="C532" s="19"/>
      <c r="D532" s="19"/>
      <c r="E532" s="19"/>
      <c r="F532" s="19"/>
      <c r="G532" s="19"/>
      <c r="H532" s="19"/>
      <c r="I532" s="19"/>
      <c r="J532" s="19"/>
      <c r="K532" s="19"/>
    </row>
    <row r="533"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>
      <c r="B534" s="19"/>
      <c r="C534" s="19"/>
      <c r="D534" s="19"/>
      <c r="E534" s="19"/>
      <c r="F534" s="19"/>
      <c r="G534" s="19"/>
      <c r="H534" s="19"/>
      <c r="I534" s="19"/>
      <c r="J534" s="19"/>
      <c r="K534" s="19"/>
    </row>
    <row r="535"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>
      <c r="B536" s="19"/>
      <c r="C536" s="19"/>
      <c r="D536" s="19"/>
      <c r="E536" s="19"/>
      <c r="F536" s="19"/>
      <c r="G536" s="19"/>
      <c r="H536" s="19"/>
      <c r="I536" s="19"/>
      <c r="J536" s="19"/>
      <c r="K536" s="19"/>
    </row>
    <row r="537"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>
      <c r="B538" s="19"/>
      <c r="C538" s="19"/>
      <c r="D538" s="19"/>
      <c r="E538" s="19"/>
      <c r="F538" s="19"/>
      <c r="G538" s="19"/>
      <c r="H538" s="19"/>
      <c r="I538" s="19"/>
      <c r="J538" s="19"/>
      <c r="K538" s="19"/>
    </row>
    <row r="539"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>
      <c r="B540" s="19"/>
      <c r="C540" s="19"/>
      <c r="D540" s="19"/>
      <c r="E540" s="19"/>
      <c r="F540" s="19"/>
      <c r="G540" s="19"/>
      <c r="H540" s="19"/>
      <c r="I540" s="19"/>
      <c r="J540" s="19"/>
      <c r="K540" s="19"/>
    </row>
    <row r="541"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>
      <c r="B542" s="19"/>
      <c r="C542" s="19"/>
      <c r="D542" s="19"/>
      <c r="E542" s="19"/>
      <c r="F542" s="19"/>
      <c r="G542" s="19"/>
      <c r="H542" s="19"/>
      <c r="I542" s="19"/>
      <c r="J542" s="19"/>
      <c r="K542" s="19"/>
    </row>
    <row r="543"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>
      <c r="B544" s="19"/>
      <c r="C544" s="19"/>
      <c r="D544" s="19"/>
      <c r="E544" s="19"/>
      <c r="F544" s="19"/>
      <c r="G544" s="19"/>
      <c r="H544" s="19"/>
      <c r="I544" s="19"/>
      <c r="J544" s="19"/>
      <c r="K544" s="19"/>
    </row>
    <row r="545"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>
      <c r="B546" s="19"/>
      <c r="C546" s="19"/>
      <c r="D546" s="19"/>
      <c r="E546" s="19"/>
      <c r="F546" s="19"/>
      <c r="G546" s="19"/>
      <c r="H546" s="19"/>
      <c r="I546" s="19"/>
      <c r="J546" s="19"/>
      <c r="K546" s="19"/>
    </row>
    <row r="547"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>
      <c r="B548" s="19"/>
      <c r="C548" s="19"/>
      <c r="D548" s="19"/>
      <c r="E548" s="19"/>
      <c r="F548" s="19"/>
      <c r="G548" s="19"/>
      <c r="H548" s="19"/>
      <c r="I548" s="19"/>
      <c r="J548" s="19"/>
      <c r="K548" s="19"/>
    </row>
    <row r="549"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>
      <c r="B550" s="19"/>
      <c r="C550" s="19"/>
      <c r="D550" s="19"/>
      <c r="E550" s="19"/>
      <c r="F550" s="19"/>
      <c r="G550" s="19"/>
      <c r="H550" s="19"/>
      <c r="I550" s="19"/>
      <c r="J550" s="19"/>
      <c r="K550" s="19"/>
    </row>
    <row r="551"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>
      <c r="B552" s="19"/>
      <c r="C552" s="19"/>
      <c r="D552" s="19"/>
      <c r="E552" s="19"/>
      <c r="F552" s="19"/>
      <c r="G552" s="19"/>
      <c r="H552" s="19"/>
      <c r="I552" s="19"/>
      <c r="J552" s="19"/>
      <c r="K552" s="19"/>
    </row>
    <row r="553"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>
      <c r="B554" s="19"/>
      <c r="C554" s="19"/>
      <c r="D554" s="19"/>
      <c r="E554" s="19"/>
      <c r="F554" s="19"/>
      <c r="G554" s="19"/>
      <c r="H554" s="19"/>
      <c r="I554" s="19"/>
      <c r="J554" s="19"/>
      <c r="K554" s="19"/>
    </row>
    <row r="555"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>
      <c r="B556" s="19"/>
      <c r="C556" s="19"/>
      <c r="D556" s="19"/>
      <c r="E556" s="19"/>
      <c r="F556" s="19"/>
      <c r="G556" s="19"/>
      <c r="H556" s="19"/>
      <c r="I556" s="19"/>
      <c r="J556" s="19"/>
      <c r="K556" s="19"/>
    </row>
    <row r="557"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>
      <c r="B558" s="19"/>
      <c r="C558" s="19"/>
      <c r="D558" s="19"/>
      <c r="E558" s="19"/>
      <c r="F558" s="19"/>
      <c r="G558" s="19"/>
      <c r="H558" s="19"/>
      <c r="I558" s="19"/>
      <c r="J558" s="19"/>
      <c r="K558" s="19"/>
    </row>
    <row r="559"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>
      <c r="B560" s="19"/>
      <c r="C560" s="19"/>
      <c r="D560" s="19"/>
      <c r="E560" s="19"/>
      <c r="F560" s="19"/>
      <c r="G560" s="19"/>
      <c r="H560" s="19"/>
      <c r="I560" s="19"/>
      <c r="J560" s="19"/>
      <c r="K560" s="19"/>
    </row>
    <row r="561"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>
      <c r="B562" s="19"/>
      <c r="C562" s="19"/>
      <c r="D562" s="19"/>
      <c r="E562" s="19"/>
      <c r="F562" s="19"/>
      <c r="G562" s="19"/>
      <c r="H562" s="19"/>
      <c r="I562" s="19"/>
      <c r="J562" s="19"/>
      <c r="K562" s="19"/>
    </row>
    <row r="563"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>
      <c r="B564" s="19"/>
      <c r="C564" s="19"/>
      <c r="D564" s="19"/>
      <c r="E564" s="19"/>
      <c r="F564" s="19"/>
      <c r="G564" s="19"/>
      <c r="H564" s="19"/>
      <c r="I564" s="19"/>
      <c r="J564" s="19"/>
      <c r="K564" s="19"/>
    </row>
    <row r="565"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>
      <c r="B566" s="19"/>
      <c r="C566" s="19"/>
      <c r="D566" s="19"/>
      <c r="E566" s="19"/>
      <c r="F566" s="19"/>
      <c r="G566" s="19"/>
      <c r="H566" s="19"/>
      <c r="I566" s="19"/>
      <c r="J566" s="19"/>
      <c r="K566" s="19"/>
    </row>
    <row r="567"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>
      <c r="B568" s="19"/>
      <c r="C568" s="19"/>
      <c r="D568" s="19"/>
      <c r="E568" s="19"/>
      <c r="F568" s="19"/>
      <c r="G568" s="19"/>
      <c r="H568" s="19"/>
      <c r="I568" s="19"/>
      <c r="J568" s="19"/>
      <c r="K568" s="19"/>
    </row>
    <row r="569"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>
      <c r="B570" s="19"/>
      <c r="C570" s="19"/>
      <c r="D570" s="19"/>
      <c r="E570" s="19"/>
      <c r="F570" s="19"/>
      <c r="G570" s="19"/>
      <c r="H570" s="19"/>
      <c r="I570" s="19"/>
      <c r="J570" s="19"/>
      <c r="K570" s="19"/>
    </row>
    <row r="571"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>
      <c r="B572" s="19"/>
      <c r="C572" s="19"/>
      <c r="D572" s="19"/>
      <c r="E572" s="19"/>
      <c r="F572" s="19"/>
      <c r="G572" s="19"/>
      <c r="H572" s="19"/>
      <c r="I572" s="19"/>
      <c r="J572" s="19"/>
      <c r="K572" s="19"/>
    </row>
    <row r="573"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>
      <c r="B574" s="19"/>
      <c r="C574" s="19"/>
      <c r="D574" s="19"/>
      <c r="E574" s="19"/>
      <c r="F574" s="19"/>
      <c r="G574" s="19"/>
      <c r="H574" s="19"/>
      <c r="I574" s="19"/>
      <c r="J574" s="19"/>
      <c r="K574" s="19"/>
    </row>
    <row r="575"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>
      <c r="B576" s="19"/>
      <c r="C576" s="19"/>
      <c r="D576" s="19"/>
      <c r="E576" s="19"/>
      <c r="F576" s="19"/>
      <c r="G576" s="19"/>
      <c r="H576" s="19"/>
      <c r="I576" s="19"/>
      <c r="J576" s="19"/>
      <c r="K576" s="19"/>
    </row>
    <row r="577"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>
      <c r="B578" s="19"/>
      <c r="C578" s="19"/>
      <c r="D578" s="19"/>
      <c r="E578" s="19"/>
      <c r="F578" s="19"/>
      <c r="G578" s="19"/>
      <c r="H578" s="19"/>
      <c r="I578" s="19"/>
      <c r="J578" s="19"/>
      <c r="K578" s="19"/>
    </row>
    <row r="579"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>
      <c r="B580" s="19"/>
      <c r="C580" s="19"/>
      <c r="D580" s="19"/>
      <c r="E580" s="19"/>
      <c r="F580" s="19"/>
      <c r="G580" s="19"/>
      <c r="H580" s="19"/>
      <c r="I580" s="19"/>
      <c r="J580" s="19"/>
      <c r="K580" s="19"/>
    </row>
    <row r="581"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>
      <c r="B582" s="19"/>
      <c r="C582" s="19"/>
      <c r="D582" s="19"/>
      <c r="E582" s="19"/>
      <c r="F582" s="19"/>
      <c r="G582" s="19"/>
      <c r="H582" s="19"/>
      <c r="I582" s="19"/>
      <c r="J582" s="19"/>
      <c r="K582" s="19"/>
    </row>
    <row r="583"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>
      <c r="B584" s="19"/>
      <c r="C584" s="19"/>
      <c r="D584" s="19"/>
      <c r="E584" s="19"/>
      <c r="F584" s="19"/>
      <c r="G584" s="19"/>
      <c r="H584" s="19"/>
      <c r="I584" s="19"/>
      <c r="J584" s="19"/>
      <c r="K584" s="19"/>
    </row>
    <row r="585"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>
      <c r="B586" s="19"/>
      <c r="C586" s="19"/>
      <c r="D586" s="19"/>
      <c r="E586" s="19"/>
      <c r="F586" s="19"/>
      <c r="G586" s="19"/>
      <c r="H586" s="19"/>
      <c r="I586" s="19"/>
      <c r="J586" s="19"/>
      <c r="K586" s="19"/>
    </row>
    <row r="587"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>
      <c r="B588" s="19"/>
      <c r="C588" s="19"/>
      <c r="D588" s="19"/>
      <c r="E588" s="19"/>
      <c r="F588" s="19"/>
      <c r="G588" s="19"/>
      <c r="H588" s="19"/>
      <c r="I588" s="19"/>
      <c r="J588" s="19"/>
      <c r="K588" s="19"/>
    </row>
    <row r="589"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>
      <c r="B590" s="19"/>
      <c r="C590" s="19"/>
      <c r="D590" s="19"/>
      <c r="E590" s="19"/>
      <c r="F590" s="19"/>
      <c r="G590" s="19"/>
      <c r="H590" s="19"/>
      <c r="I590" s="19"/>
      <c r="J590" s="19"/>
      <c r="K590" s="19"/>
    </row>
    <row r="591"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>
      <c r="B592" s="19"/>
      <c r="C592" s="19"/>
      <c r="D592" s="19"/>
      <c r="E592" s="19"/>
      <c r="F592" s="19"/>
      <c r="G592" s="19"/>
      <c r="H592" s="19"/>
      <c r="I592" s="19"/>
      <c r="J592" s="19"/>
      <c r="K592" s="19"/>
    </row>
    <row r="593"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>
      <c r="B594" s="19"/>
      <c r="C594" s="19"/>
      <c r="D594" s="19"/>
      <c r="E594" s="19"/>
      <c r="F594" s="19"/>
      <c r="G594" s="19"/>
      <c r="H594" s="19"/>
      <c r="I594" s="19"/>
      <c r="J594" s="19"/>
      <c r="K594" s="19"/>
    </row>
    <row r="595"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>
      <c r="B596" s="19"/>
      <c r="C596" s="19"/>
      <c r="D596" s="19"/>
      <c r="E596" s="19"/>
      <c r="F596" s="19"/>
      <c r="G596" s="19"/>
      <c r="H596" s="19"/>
      <c r="I596" s="19"/>
      <c r="J596" s="19"/>
      <c r="K596" s="19"/>
    </row>
    <row r="597"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>
      <c r="B598" s="19"/>
      <c r="C598" s="19"/>
      <c r="D598" s="19"/>
      <c r="E598" s="19"/>
      <c r="F598" s="19"/>
      <c r="G598" s="19"/>
      <c r="H598" s="19"/>
      <c r="I598" s="19"/>
      <c r="J598" s="19"/>
      <c r="K598" s="19"/>
    </row>
    <row r="599"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>
      <c r="B600" s="19"/>
      <c r="C600" s="19"/>
      <c r="D600" s="19"/>
      <c r="E600" s="19"/>
      <c r="F600" s="19"/>
      <c r="G600" s="19"/>
      <c r="H600" s="19"/>
      <c r="I600" s="19"/>
      <c r="J600" s="19"/>
      <c r="K600" s="19"/>
    </row>
    <row r="601"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>
      <c r="B602" s="19"/>
      <c r="C602" s="19"/>
      <c r="D602" s="19"/>
      <c r="E602" s="19"/>
      <c r="F602" s="19"/>
      <c r="G602" s="19"/>
      <c r="H602" s="19"/>
      <c r="I602" s="19"/>
      <c r="J602" s="19"/>
      <c r="K602" s="19"/>
    </row>
    <row r="603"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>
      <c r="B604" s="19"/>
      <c r="C604" s="19"/>
      <c r="D604" s="19"/>
      <c r="E604" s="19"/>
      <c r="F604" s="19"/>
      <c r="G604" s="19"/>
      <c r="H604" s="19"/>
      <c r="I604" s="19"/>
      <c r="J604" s="19"/>
      <c r="K604" s="19"/>
    </row>
    <row r="605"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>
      <c r="B606" s="19"/>
      <c r="C606" s="19"/>
      <c r="D606" s="19"/>
      <c r="E606" s="19"/>
      <c r="F606" s="19"/>
      <c r="G606" s="19"/>
      <c r="H606" s="19"/>
      <c r="I606" s="19"/>
      <c r="J606" s="19"/>
      <c r="K606" s="19"/>
    </row>
    <row r="607"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>
      <c r="B608" s="19"/>
      <c r="C608" s="19"/>
      <c r="D608" s="19"/>
      <c r="E608" s="19"/>
      <c r="F608" s="19"/>
      <c r="G608" s="19"/>
      <c r="H608" s="19"/>
      <c r="I608" s="19"/>
      <c r="J608" s="19"/>
      <c r="K608" s="19"/>
    </row>
    <row r="609"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>
      <c r="B610" s="19"/>
      <c r="C610" s="19"/>
      <c r="D610" s="19"/>
      <c r="E610" s="19"/>
      <c r="F610" s="19"/>
      <c r="G610" s="19"/>
      <c r="H610" s="19"/>
      <c r="I610" s="19"/>
      <c r="J610" s="19"/>
      <c r="K610" s="19"/>
    </row>
    <row r="611"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>
      <c r="B612" s="19"/>
      <c r="C612" s="19"/>
      <c r="D612" s="19"/>
      <c r="E612" s="19"/>
      <c r="F612" s="19"/>
      <c r="G612" s="19"/>
      <c r="H612" s="19"/>
      <c r="I612" s="19"/>
      <c r="J612" s="19"/>
      <c r="K612" s="19"/>
    </row>
    <row r="613"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>
      <c r="B614" s="19"/>
      <c r="C614" s="19"/>
      <c r="D614" s="19"/>
      <c r="E614" s="19"/>
      <c r="F614" s="19"/>
      <c r="G614" s="19"/>
      <c r="H614" s="19"/>
      <c r="I614" s="19"/>
      <c r="J614" s="19"/>
      <c r="K614" s="19"/>
    </row>
    <row r="615"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>
      <c r="B616" s="19"/>
      <c r="C616" s="19"/>
      <c r="D616" s="19"/>
      <c r="E616" s="19"/>
      <c r="F616" s="19"/>
      <c r="G616" s="19"/>
      <c r="H616" s="19"/>
      <c r="I616" s="19"/>
      <c r="J616" s="19"/>
      <c r="K616" s="19"/>
    </row>
    <row r="617"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>
      <c r="B618" s="19"/>
      <c r="C618" s="19"/>
      <c r="D618" s="19"/>
      <c r="E618" s="19"/>
      <c r="F618" s="19"/>
      <c r="G618" s="19"/>
      <c r="H618" s="19"/>
      <c r="I618" s="19"/>
      <c r="J618" s="19"/>
      <c r="K618" s="19"/>
    </row>
    <row r="619"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>
      <c r="B620" s="19"/>
      <c r="C620" s="19"/>
      <c r="D620" s="19"/>
      <c r="E620" s="19"/>
      <c r="F620" s="19"/>
      <c r="G620" s="19"/>
      <c r="H620" s="19"/>
      <c r="I620" s="19"/>
      <c r="J620" s="19"/>
      <c r="K620" s="19"/>
    </row>
    <row r="621"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>
      <c r="B622" s="19"/>
      <c r="C622" s="19"/>
      <c r="D622" s="19"/>
      <c r="E622" s="19"/>
      <c r="F622" s="19"/>
      <c r="G622" s="19"/>
      <c r="H622" s="19"/>
      <c r="I622" s="19"/>
      <c r="J622" s="19"/>
      <c r="K622" s="19"/>
    </row>
    <row r="623"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>
      <c r="B624" s="19"/>
      <c r="C624" s="19"/>
      <c r="D624" s="19"/>
      <c r="E624" s="19"/>
      <c r="F624" s="19"/>
      <c r="G624" s="19"/>
      <c r="H624" s="19"/>
      <c r="I624" s="19"/>
      <c r="J624" s="19"/>
      <c r="K624" s="19"/>
    </row>
    <row r="625"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>
      <c r="B626" s="19"/>
      <c r="C626" s="19"/>
      <c r="D626" s="19"/>
      <c r="E626" s="19"/>
      <c r="F626" s="19"/>
      <c r="G626" s="19"/>
      <c r="H626" s="19"/>
      <c r="I626" s="19"/>
      <c r="J626" s="19"/>
      <c r="K626" s="19"/>
    </row>
    <row r="627"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>
      <c r="B628" s="19"/>
      <c r="C628" s="19"/>
      <c r="D628" s="19"/>
      <c r="E628" s="19"/>
      <c r="F628" s="19"/>
      <c r="G628" s="19"/>
      <c r="H628" s="19"/>
      <c r="I628" s="19"/>
      <c r="J628" s="19"/>
      <c r="K628" s="19"/>
    </row>
    <row r="629"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>
      <c r="B630" s="19"/>
      <c r="C630" s="19"/>
      <c r="D630" s="19"/>
      <c r="E630" s="19"/>
      <c r="F630" s="19"/>
      <c r="G630" s="19"/>
      <c r="H630" s="19"/>
      <c r="I630" s="19"/>
      <c r="J630" s="19"/>
      <c r="K630" s="19"/>
    </row>
    <row r="631"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>
      <c r="B632" s="19"/>
      <c r="C632" s="19"/>
      <c r="D632" s="19"/>
      <c r="E632" s="19"/>
      <c r="F632" s="19"/>
      <c r="G632" s="19"/>
      <c r="H632" s="19"/>
      <c r="I632" s="19"/>
      <c r="J632" s="19"/>
      <c r="K632" s="19"/>
    </row>
    <row r="633"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>
      <c r="B634" s="19"/>
      <c r="C634" s="19"/>
      <c r="D634" s="19"/>
      <c r="E634" s="19"/>
      <c r="F634" s="19"/>
      <c r="G634" s="19"/>
      <c r="H634" s="19"/>
      <c r="I634" s="19"/>
      <c r="J634" s="19"/>
      <c r="K634" s="19"/>
    </row>
    <row r="635"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>
      <c r="B636" s="19"/>
      <c r="C636" s="19"/>
      <c r="D636" s="19"/>
      <c r="E636" s="19"/>
      <c r="F636" s="19"/>
      <c r="G636" s="19"/>
      <c r="H636" s="19"/>
      <c r="I636" s="19"/>
      <c r="J636" s="19"/>
      <c r="K636" s="19"/>
    </row>
    <row r="637"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>
      <c r="B638" s="19"/>
      <c r="C638" s="19"/>
      <c r="D638" s="19"/>
      <c r="E638" s="19"/>
      <c r="F638" s="19"/>
      <c r="G638" s="19"/>
      <c r="H638" s="19"/>
      <c r="I638" s="19"/>
      <c r="J638" s="19"/>
      <c r="K638" s="19"/>
    </row>
    <row r="639"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>
      <c r="B640" s="19"/>
      <c r="C640" s="19"/>
      <c r="D640" s="19"/>
      <c r="E640" s="19"/>
      <c r="F640" s="19"/>
      <c r="G640" s="19"/>
      <c r="H640" s="19"/>
      <c r="I640" s="19"/>
      <c r="J640" s="19"/>
      <c r="K640" s="19"/>
    </row>
    <row r="641"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>
      <c r="B642" s="19"/>
      <c r="C642" s="19"/>
      <c r="D642" s="19"/>
      <c r="E642" s="19"/>
      <c r="F642" s="19"/>
      <c r="G642" s="19"/>
      <c r="H642" s="19"/>
      <c r="I642" s="19"/>
      <c r="J642" s="19"/>
      <c r="K642" s="19"/>
    </row>
    <row r="643"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>
      <c r="B644" s="19"/>
      <c r="C644" s="19"/>
      <c r="D644" s="19"/>
      <c r="E644" s="19"/>
      <c r="F644" s="19"/>
      <c r="G644" s="19"/>
      <c r="H644" s="19"/>
      <c r="I644" s="19"/>
      <c r="J644" s="19"/>
      <c r="K644" s="19"/>
    </row>
    <row r="645"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>
      <c r="B646" s="19"/>
      <c r="C646" s="19"/>
      <c r="D646" s="19"/>
      <c r="E646" s="19"/>
      <c r="F646" s="19"/>
      <c r="G646" s="19"/>
      <c r="H646" s="19"/>
      <c r="I646" s="19"/>
      <c r="J646" s="19"/>
      <c r="K646" s="19"/>
    </row>
    <row r="647"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>
      <c r="B648" s="19"/>
      <c r="C648" s="19"/>
      <c r="D648" s="19"/>
      <c r="E648" s="19"/>
      <c r="F648" s="19"/>
      <c r="G648" s="19"/>
      <c r="H648" s="19"/>
      <c r="I648" s="19"/>
      <c r="J648" s="19"/>
      <c r="K648" s="19"/>
    </row>
    <row r="649"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>
      <c r="B650" s="19"/>
      <c r="C650" s="19"/>
      <c r="D650" s="19"/>
      <c r="E650" s="19"/>
      <c r="F650" s="19"/>
      <c r="G650" s="19"/>
      <c r="H650" s="19"/>
      <c r="I650" s="19"/>
      <c r="J650" s="19"/>
      <c r="K650" s="19"/>
    </row>
    <row r="651"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>
      <c r="B652" s="19"/>
      <c r="C652" s="19"/>
      <c r="D652" s="19"/>
      <c r="E652" s="19"/>
      <c r="F652" s="19"/>
      <c r="G652" s="19"/>
      <c r="H652" s="19"/>
      <c r="I652" s="19"/>
      <c r="J652" s="19"/>
      <c r="K652" s="19"/>
    </row>
    <row r="653"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>
      <c r="B654" s="19"/>
      <c r="C654" s="19"/>
      <c r="D654" s="19"/>
      <c r="E654" s="19"/>
      <c r="F654" s="19"/>
      <c r="G654" s="19"/>
      <c r="H654" s="19"/>
      <c r="I654" s="19"/>
      <c r="J654" s="19"/>
      <c r="K654" s="19"/>
    </row>
    <row r="655"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>
      <c r="B656" s="19"/>
      <c r="C656" s="19"/>
      <c r="D656" s="19"/>
      <c r="E656" s="19"/>
      <c r="F656" s="19"/>
      <c r="G656" s="19"/>
      <c r="H656" s="19"/>
      <c r="I656" s="19"/>
      <c r="J656" s="19"/>
      <c r="K656" s="19"/>
    </row>
    <row r="657"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>
      <c r="B658" s="19"/>
      <c r="C658" s="19"/>
      <c r="D658" s="19"/>
      <c r="E658" s="19"/>
      <c r="F658" s="19"/>
      <c r="G658" s="19"/>
      <c r="H658" s="19"/>
      <c r="I658" s="19"/>
      <c r="J658" s="19"/>
      <c r="K658" s="19"/>
    </row>
    <row r="659"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>
      <c r="B660" s="19"/>
      <c r="C660" s="19"/>
      <c r="D660" s="19"/>
      <c r="E660" s="19"/>
      <c r="F660" s="19"/>
      <c r="G660" s="19"/>
      <c r="H660" s="19"/>
      <c r="I660" s="19"/>
      <c r="J660" s="19"/>
      <c r="K660" s="19"/>
    </row>
    <row r="661"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>
      <c r="B662" s="19"/>
      <c r="C662" s="19"/>
      <c r="D662" s="19"/>
      <c r="E662" s="19"/>
      <c r="F662" s="19"/>
      <c r="G662" s="19"/>
      <c r="H662" s="19"/>
      <c r="I662" s="19"/>
      <c r="J662" s="19"/>
      <c r="K662" s="19"/>
    </row>
    <row r="663"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>
      <c r="B664" s="19"/>
      <c r="C664" s="19"/>
      <c r="D664" s="19"/>
      <c r="E664" s="19"/>
      <c r="F664" s="19"/>
      <c r="G664" s="19"/>
      <c r="H664" s="19"/>
      <c r="I664" s="19"/>
      <c r="J664" s="19"/>
      <c r="K664" s="19"/>
    </row>
    <row r="665"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>
      <c r="B666" s="19"/>
      <c r="C666" s="19"/>
      <c r="D666" s="19"/>
      <c r="E666" s="19"/>
      <c r="F666" s="19"/>
      <c r="G666" s="19"/>
      <c r="H666" s="19"/>
      <c r="I666" s="19"/>
      <c r="J666" s="19"/>
      <c r="K666" s="19"/>
    </row>
    <row r="667"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>
      <c r="B668" s="19"/>
      <c r="C668" s="19"/>
      <c r="D668" s="19"/>
      <c r="E668" s="19"/>
      <c r="F668" s="19"/>
      <c r="G668" s="19"/>
      <c r="H668" s="19"/>
      <c r="I668" s="19"/>
      <c r="J668" s="19"/>
      <c r="K668" s="19"/>
    </row>
    <row r="669"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>
      <c r="B670" s="19"/>
      <c r="C670" s="19"/>
      <c r="D670" s="19"/>
      <c r="E670" s="19"/>
      <c r="F670" s="19"/>
      <c r="G670" s="19"/>
      <c r="H670" s="19"/>
      <c r="I670" s="19"/>
      <c r="J670" s="19"/>
      <c r="K670" s="19"/>
    </row>
    <row r="671"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>
      <c r="B672" s="19"/>
      <c r="C672" s="19"/>
      <c r="D672" s="19"/>
      <c r="E672" s="19"/>
      <c r="F672" s="19"/>
      <c r="G672" s="19"/>
      <c r="H672" s="19"/>
      <c r="I672" s="19"/>
      <c r="J672" s="19"/>
      <c r="K672" s="19"/>
    </row>
    <row r="673"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>
      <c r="B674" s="19"/>
      <c r="C674" s="19"/>
      <c r="D674" s="19"/>
      <c r="E674" s="19"/>
      <c r="F674" s="19"/>
      <c r="G674" s="19"/>
      <c r="H674" s="19"/>
      <c r="I674" s="19"/>
      <c r="J674" s="19"/>
      <c r="K674" s="19"/>
    </row>
    <row r="675"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>
      <c r="B676" s="19"/>
      <c r="C676" s="19"/>
      <c r="D676" s="19"/>
      <c r="E676" s="19"/>
      <c r="F676" s="19"/>
      <c r="G676" s="19"/>
      <c r="H676" s="19"/>
      <c r="I676" s="19"/>
      <c r="J676" s="19"/>
      <c r="K676" s="19"/>
    </row>
    <row r="677"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>
      <c r="B678" s="19"/>
      <c r="C678" s="19"/>
      <c r="D678" s="19"/>
      <c r="E678" s="19"/>
      <c r="F678" s="19"/>
      <c r="G678" s="19"/>
      <c r="H678" s="19"/>
      <c r="I678" s="19"/>
      <c r="J678" s="19"/>
      <c r="K678" s="19"/>
    </row>
    <row r="679"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>
      <c r="B680" s="19"/>
      <c r="C680" s="19"/>
      <c r="D680" s="19"/>
      <c r="E680" s="19"/>
      <c r="F680" s="19"/>
      <c r="G680" s="19"/>
      <c r="H680" s="19"/>
      <c r="I680" s="19"/>
      <c r="J680" s="19"/>
      <c r="K680" s="19"/>
    </row>
    <row r="681"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>
      <c r="B682" s="19"/>
      <c r="C682" s="19"/>
      <c r="D682" s="19"/>
      <c r="E682" s="19"/>
      <c r="F682" s="19"/>
      <c r="G682" s="19"/>
      <c r="H682" s="19"/>
      <c r="I682" s="19"/>
      <c r="J682" s="19"/>
      <c r="K682" s="19"/>
    </row>
    <row r="683"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>
      <c r="B684" s="19"/>
      <c r="C684" s="19"/>
      <c r="D684" s="19"/>
      <c r="E684" s="19"/>
      <c r="F684" s="19"/>
      <c r="G684" s="19"/>
      <c r="H684" s="19"/>
      <c r="I684" s="19"/>
      <c r="J684" s="19"/>
      <c r="K684" s="19"/>
    </row>
    <row r="685"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>
      <c r="B686" s="19"/>
      <c r="C686" s="19"/>
      <c r="D686" s="19"/>
      <c r="E686" s="19"/>
      <c r="F686" s="19"/>
      <c r="G686" s="19"/>
      <c r="H686" s="19"/>
      <c r="I686" s="19"/>
      <c r="J686" s="19"/>
      <c r="K686" s="19"/>
    </row>
    <row r="687"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>
      <c r="B688" s="19"/>
      <c r="C688" s="19"/>
      <c r="D688" s="19"/>
      <c r="E688" s="19"/>
      <c r="F688" s="19"/>
      <c r="G688" s="19"/>
      <c r="H688" s="19"/>
      <c r="I688" s="19"/>
      <c r="J688" s="19"/>
      <c r="K688" s="19"/>
    </row>
    <row r="689"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>
      <c r="B690" s="19"/>
      <c r="C690" s="19"/>
      <c r="D690" s="19"/>
      <c r="E690" s="19"/>
      <c r="F690" s="19"/>
      <c r="G690" s="19"/>
      <c r="H690" s="19"/>
      <c r="I690" s="19"/>
      <c r="J690" s="19"/>
      <c r="K690" s="19"/>
    </row>
    <row r="691"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>
      <c r="B692" s="19"/>
      <c r="C692" s="19"/>
      <c r="D692" s="19"/>
      <c r="E692" s="19"/>
      <c r="F692" s="19"/>
      <c r="G692" s="19"/>
      <c r="H692" s="19"/>
      <c r="I692" s="19"/>
      <c r="J692" s="19"/>
      <c r="K692" s="19"/>
    </row>
    <row r="693"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>
      <c r="B694" s="19"/>
      <c r="C694" s="19"/>
      <c r="D694" s="19"/>
      <c r="E694" s="19"/>
      <c r="F694" s="19"/>
      <c r="G694" s="19"/>
      <c r="H694" s="19"/>
      <c r="I694" s="19"/>
      <c r="J694" s="19"/>
      <c r="K694" s="19"/>
    </row>
    <row r="695"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>
      <c r="B696" s="19"/>
      <c r="C696" s="19"/>
      <c r="D696" s="19"/>
      <c r="E696" s="19"/>
      <c r="F696" s="19"/>
      <c r="G696" s="19"/>
      <c r="H696" s="19"/>
      <c r="I696" s="19"/>
      <c r="J696" s="19"/>
      <c r="K696" s="19"/>
    </row>
    <row r="697"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>
      <c r="B698" s="19"/>
      <c r="C698" s="19"/>
      <c r="D698" s="19"/>
      <c r="E698" s="19"/>
      <c r="F698" s="19"/>
      <c r="G698" s="19"/>
      <c r="H698" s="19"/>
      <c r="I698" s="19"/>
      <c r="J698" s="19"/>
      <c r="K698" s="19"/>
    </row>
    <row r="699"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>
      <c r="B700" s="19"/>
      <c r="C700" s="19"/>
      <c r="D700" s="19"/>
      <c r="E700" s="19"/>
      <c r="F700" s="19"/>
      <c r="G700" s="19"/>
      <c r="H700" s="19"/>
      <c r="I700" s="19"/>
      <c r="J700" s="19"/>
      <c r="K700" s="19"/>
    </row>
    <row r="701"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>
      <c r="B702" s="19"/>
      <c r="C702" s="19"/>
      <c r="D702" s="19"/>
      <c r="E702" s="19"/>
      <c r="F702" s="19"/>
      <c r="G702" s="19"/>
      <c r="H702" s="19"/>
      <c r="I702" s="19"/>
      <c r="J702" s="19"/>
      <c r="K702" s="19"/>
    </row>
    <row r="703"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>
      <c r="B704" s="19"/>
      <c r="C704" s="19"/>
      <c r="D704" s="19"/>
      <c r="E704" s="19"/>
      <c r="F704" s="19"/>
      <c r="G704" s="19"/>
      <c r="H704" s="19"/>
      <c r="I704" s="19"/>
      <c r="J704" s="19"/>
      <c r="K704" s="19"/>
    </row>
    <row r="705"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>
      <c r="B706" s="19"/>
      <c r="C706" s="19"/>
      <c r="D706" s="19"/>
      <c r="E706" s="19"/>
      <c r="F706" s="19"/>
      <c r="G706" s="19"/>
      <c r="H706" s="19"/>
      <c r="I706" s="19"/>
      <c r="J706" s="19"/>
      <c r="K706" s="19"/>
    </row>
    <row r="707"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>
      <c r="B708" s="19"/>
      <c r="C708" s="19"/>
      <c r="D708" s="19"/>
      <c r="E708" s="19"/>
      <c r="F708" s="19"/>
      <c r="G708" s="19"/>
      <c r="H708" s="19"/>
      <c r="I708" s="19"/>
      <c r="J708" s="19"/>
      <c r="K708" s="19"/>
    </row>
    <row r="709"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>
      <c r="B710" s="19"/>
      <c r="C710" s="19"/>
      <c r="D710" s="19"/>
      <c r="E710" s="19"/>
      <c r="F710" s="19"/>
      <c r="G710" s="19"/>
      <c r="H710" s="19"/>
      <c r="I710" s="19"/>
      <c r="J710" s="19"/>
      <c r="K710" s="19"/>
    </row>
    <row r="711"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>
      <c r="B712" s="19"/>
      <c r="C712" s="19"/>
      <c r="D712" s="19"/>
      <c r="E712" s="19"/>
      <c r="F712" s="19"/>
      <c r="G712" s="19"/>
      <c r="H712" s="19"/>
      <c r="I712" s="19"/>
      <c r="J712" s="19"/>
      <c r="K712" s="19"/>
    </row>
    <row r="713"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>
      <c r="B714" s="19"/>
      <c r="C714" s="19"/>
      <c r="D714" s="19"/>
      <c r="E714" s="19"/>
      <c r="F714" s="19"/>
      <c r="G714" s="19"/>
      <c r="H714" s="19"/>
      <c r="I714" s="19"/>
      <c r="J714" s="19"/>
      <c r="K714" s="19"/>
    </row>
    <row r="715"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>
      <c r="B716" s="19"/>
      <c r="C716" s="19"/>
      <c r="D716" s="19"/>
      <c r="E716" s="19"/>
      <c r="F716" s="19"/>
      <c r="G716" s="19"/>
      <c r="H716" s="19"/>
      <c r="I716" s="19"/>
      <c r="J716" s="19"/>
      <c r="K716" s="19"/>
    </row>
    <row r="717"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>
      <c r="B718" s="19"/>
      <c r="C718" s="19"/>
      <c r="D718" s="19"/>
      <c r="E718" s="19"/>
      <c r="F718" s="19"/>
      <c r="G718" s="19"/>
      <c r="H718" s="19"/>
      <c r="I718" s="19"/>
      <c r="J718" s="19"/>
      <c r="K718" s="19"/>
    </row>
    <row r="719"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>
      <c r="B720" s="19"/>
      <c r="C720" s="19"/>
      <c r="D720" s="19"/>
      <c r="E720" s="19"/>
      <c r="F720" s="19"/>
      <c r="G720" s="19"/>
      <c r="H720" s="19"/>
      <c r="I720" s="19"/>
      <c r="J720" s="19"/>
      <c r="K720" s="19"/>
    </row>
    <row r="721"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>
      <c r="B722" s="19"/>
      <c r="C722" s="19"/>
      <c r="D722" s="19"/>
      <c r="E722" s="19"/>
      <c r="F722" s="19"/>
      <c r="G722" s="19"/>
      <c r="H722" s="19"/>
      <c r="I722" s="19"/>
      <c r="J722" s="19"/>
      <c r="K722" s="19"/>
    </row>
    <row r="723"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>
      <c r="B724" s="19"/>
      <c r="C724" s="19"/>
      <c r="D724" s="19"/>
      <c r="E724" s="19"/>
      <c r="F724" s="19"/>
      <c r="G724" s="19"/>
      <c r="H724" s="19"/>
      <c r="I724" s="19"/>
      <c r="J724" s="19"/>
      <c r="K724" s="19"/>
    </row>
    <row r="725"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>
      <c r="B726" s="19"/>
      <c r="C726" s="19"/>
      <c r="D726" s="19"/>
      <c r="E726" s="19"/>
      <c r="F726" s="19"/>
      <c r="G726" s="19"/>
      <c r="H726" s="19"/>
      <c r="I726" s="19"/>
      <c r="J726" s="19"/>
      <c r="K726" s="19"/>
    </row>
    <row r="727"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>
      <c r="B728" s="19"/>
      <c r="C728" s="19"/>
      <c r="D728" s="19"/>
      <c r="E728" s="19"/>
      <c r="F728" s="19"/>
      <c r="G728" s="19"/>
      <c r="H728" s="19"/>
      <c r="I728" s="19"/>
      <c r="J728" s="19"/>
      <c r="K728" s="19"/>
    </row>
    <row r="729"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>
      <c r="B730" s="19"/>
      <c r="C730" s="19"/>
      <c r="D730" s="19"/>
      <c r="E730" s="19"/>
      <c r="F730" s="19"/>
      <c r="G730" s="19"/>
      <c r="H730" s="19"/>
      <c r="I730" s="19"/>
      <c r="J730" s="19"/>
      <c r="K730" s="19"/>
    </row>
    <row r="731"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>
      <c r="B732" s="19"/>
      <c r="C732" s="19"/>
      <c r="D732" s="19"/>
      <c r="E732" s="19"/>
      <c r="F732" s="19"/>
      <c r="G732" s="19"/>
      <c r="H732" s="19"/>
      <c r="I732" s="19"/>
      <c r="J732" s="19"/>
      <c r="K732" s="19"/>
    </row>
    <row r="733"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>
      <c r="B734" s="19"/>
      <c r="C734" s="19"/>
      <c r="D734" s="19"/>
      <c r="E734" s="19"/>
      <c r="F734" s="19"/>
      <c r="G734" s="19"/>
      <c r="H734" s="19"/>
      <c r="I734" s="19"/>
      <c r="J734" s="19"/>
      <c r="K734" s="19"/>
    </row>
    <row r="735"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>
      <c r="B736" s="19"/>
      <c r="C736" s="19"/>
      <c r="D736" s="19"/>
      <c r="E736" s="19"/>
      <c r="F736" s="19"/>
      <c r="G736" s="19"/>
      <c r="H736" s="19"/>
      <c r="I736" s="19"/>
      <c r="J736" s="19"/>
      <c r="K736" s="19"/>
    </row>
    <row r="737"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>
      <c r="B738" s="19"/>
      <c r="C738" s="19"/>
      <c r="D738" s="19"/>
      <c r="E738" s="19"/>
      <c r="F738" s="19"/>
      <c r="G738" s="19"/>
      <c r="H738" s="19"/>
      <c r="I738" s="19"/>
      <c r="J738" s="19"/>
      <c r="K738" s="19"/>
    </row>
    <row r="739"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>
      <c r="B740" s="19"/>
      <c r="C740" s="19"/>
      <c r="D740" s="19"/>
      <c r="E740" s="19"/>
      <c r="F740" s="19"/>
      <c r="G740" s="19"/>
      <c r="H740" s="19"/>
      <c r="I740" s="19"/>
      <c r="J740" s="19"/>
      <c r="K740" s="19"/>
    </row>
    <row r="741"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>
      <c r="B742" s="19"/>
      <c r="C742" s="19"/>
      <c r="D742" s="19"/>
      <c r="E742" s="19"/>
      <c r="F742" s="19"/>
      <c r="G742" s="19"/>
      <c r="H742" s="19"/>
      <c r="I742" s="19"/>
      <c r="J742" s="19"/>
      <c r="K742" s="19"/>
    </row>
    <row r="743"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>
      <c r="B744" s="19"/>
      <c r="C744" s="19"/>
      <c r="D744" s="19"/>
      <c r="E744" s="19"/>
      <c r="F744" s="19"/>
      <c r="G744" s="19"/>
      <c r="H744" s="19"/>
      <c r="I744" s="19"/>
      <c r="J744" s="19"/>
      <c r="K744" s="19"/>
    </row>
    <row r="745"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>
      <c r="B746" s="19"/>
      <c r="C746" s="19"/>
      <c r="D746" s="19"/>
      <c r="E746" s="19"/>
      <c r="F746" s="19"/>
      <c r="G746" s="19"/>
      <c r="H746" s="19"/>
      <c r="I746" s="19"/>
      <c r="J746" s="19"/>
      <c r="K746" s="19"/>
    </row>
    <row r="747"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>
      <c r="B748" s="19"/>
      <c r="C748" s="19"/>
      <c r="D748" s="19"/>
      <c r="E748" s="19"/>
      <c r="F748" s="19"/>
      <c r="G748" s="19"/>
      <c r="H748" s="19"/>
      <c r="I748" s="19"/>
      <c r="J748" s="19"/>
      <c r="K748" s="19"/>
    </row>
    <row r="749"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>
      <c r="B750" s="19"/>
      <c r="C750" s="19"/>
      <c r="D750" s="19"/>
      <c r="E750" s="19"/>
      <c r="F750" s="19"/>
      <c r="G750" s="19"/>
      <c r="H750" s="19"/>
      <c r="I750" s="19"/>
      <c r="J750" s="19"/>
      <c r="K750" s="19"/>
    </row>
    <row r="751"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>
      <c r="B752" s="19"/>
      <c r="C752" s="19"/>
      <c r="D752" s="19"/>
      <c r="E752" s="19"/>
      <c r="F752" s="19"/>
      <c r="G752" s="19"/>
      <c r="H752" s="19"/>
      <c r="I752" s="19"/>
      <c r="J752" s="19"/>
      <c r="K752" s="19"/>
    </row>
    <row r="753"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>
      <c r="B754" s="19"/>
      <c r="C754" s="19"/>
      <c r="D754" s="19"/>
      <c r="E754" s="19"/>
      <c r="F754" s="19"/>
      <c r="G754" s="19"/>
      <c r="H754" s="19"/>
      <c r="I754" s="19"/>
      <c r="J754" s="19"/>
      <c r="K754" s="19"/>
    </row>
    <row r="755"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>
      <c r="B756" s="19"/>
      <c r="C756" s="19"/>
      <c r="D756" s="19"/>
      <c r="E756" s="19"/>
      <c r="F756" s="19"/>
      <c r="G756" s="19"/>
      <c r="H756" s="19"/>
      <c r="I756" s="19"/>
      <c r="J756" s="19"/>
      <c r="K756" s="19"/>
    </row>
    <row r="757"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>
      <c r="B758" s="19"/>
      <c r="C758" s="19"/>
      <c r="D758" s="19"/>
      <c r="E758" s="19"/>
      <c r="F758" s="19"/>
      <c r="G758" s="19"/>
      <c r="H758" s="19"/>
      <c r="I758" s="19"/>
      <c r="J758" s="19"/>
      <c r="K758" s="19"/>
    </row>
    <row r="759"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>
      <c r="B760" s="19"/>
      <c r="C760" s="19"/>
      <c r="D760" s="19"/>
      <c r="E760" s="19"/>
      <c r="F760" s="19"/>
      <c r="G760" s="19"/>
      <c r="H760" s="19"/>
      <c r="I760" s="19"/>
      <c r="J760" s="19"/>
      <c r="K760" s="19"/>
    </row>
    <row r="761"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>
      <c r="B762" s="19"/>
      <c r="C762" s="19"/>
      <c r="D762" s="19"/>
      <c r="E762" s="19"/>
      <c r="F762" s="19"/>
      <c r="G762" s="19"/>
      <c r="H762" s="19"/>
      <c r="I762" s="19"/>
      <c r="J762" s="19"/>
      <c r="K762" s="19"/>
    </row>
    <row r="763"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>
      <c r="B764" s="19"/>
      <c r="C764" s="19"/>
      <c r="D764" s="19"/>
      <c r="E764" s="19"/>
      <c r="F764" s="19"/>
      <c r="G764" s="19"/>
      <c r="H764" s="19"/>
      <c r="I764" s="19"/>
      <c r="J764" s="19"/>
      <c r="K764" s="19"/>
    </row>
    <row r="765"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>
      <c r="B766" s="19"/>
      <c r="C766" s="19"/>
      <c r="D766" s="19"/>
      <c r="E766" s="19"/>
      <c r="F766" s="19"/>
      <c r="G766" s="19"/>
      <c r="H766" s="19"/>
      <c r="I766" s="19"/>
      <c r="J766" s="19"/>
      <c r="K766" s="19"/>
    </row>
    <row r="767"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>
      <c r="B768" s="19"/>
      <c r="C768" s="19"/>
      <c r="D768" s="19"/>
      <c r="E768" s="19"/>
      <c r="F768" s="19"/>
      <c r="G768" s="19"/>
      <c r="H768" s="19"/>
      <c r="I768" s="19"/>
      <c r="J768" s="19"/>
      <c r="K768" s="19"/>
    </row>
    <row r="769"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>
      <c r="B770" s="19"/>
      <c r="C770" s="19"/>
      <c r="D770" s="19"/>
      <c r="E770" s="19"/>
      <c r="F770" s="19"/>
      <c r="G770" s="19"/>
      <c r="H770" s="19"/>
      <c r="I770" s="19"/>
      <c r="J770" s="19"/>
      <c r="K770" s="19"/>
    </row>
    <row r="771"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>
      <c r="B772" s="19"/>
      <c r="C772" s="19"/>
      <c r="D772" s="19"/>
      <c r="E772" s="19"/>
      <c r="F772" s="19"/>
      <c r="G772" s="19"/>
      <c r="H772" s="19"/>
      <c r="I772" s="19"/>
      <c r="J772" s="19"/>
      <c r="K772" s="19"/>
    </row>
    <row r="773"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>
      <c r="B774" s="19"/>
      <c r="C774" s="19"/>
      <c r="D774" s="19"/>
      <c r="E774" s="19"/>
      <c r="F774" s="19"/>
      <c r="G774" s="19"/>
      <c r="H774" s="19"/>
      <c r="I774" s="19"/>
      <c r="J774" s="19"/>
      <c r="K774" s="19"/>
    </row>
    <row r="775"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>
      <c r="B776" s="19"/>
      <c r="C776" s="19"/>
      <c r="D776" s="19"/>
      <c r="E776" s="19"/>
      <c r="F776" s="19"/>
      <c r="G776" s="19"/>
      <c r="H776" s="19"/>
      <c r="I776" s="19"/>
      <c r="J776" s="19"/>
      <c r="K776" s="19"/>
    </row>
    <row r="777"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>
      <c r="B778" s="19"/>
      <c r="C778" s="19"/>
      <c r="D778" s="19"/>
      <c r="E778" s="19"/>
      <c r="F778" s="19"/>
      <c r="G778" s="19"/>
      <c r="H778" s="19"/>
      <c r="I778" s="19"/>
      <c r="J778" s="19"/>
      <c r="K778" s="19"/>
    </row>
    <row r="779"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>
      <c r="B780" s="19"/>
      <c r="C780" s="19"/>
      <c r="D780" s="19"/>
      <c r="E780" s="19"/>
      <c r="F780" s="19"/>
      <c r="G780" s="19"/>
      <c r="H780" s="19"/>
      <c r="I780" s="19"/>
      <c r="J780" s="19"/>
      <c r="K780" s="19"/>
    </row>
    <row r="781"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>
      <c r="B782" s="19"/>
      <c r="C782" s="19"/>
      <c r="D782" s="19"/>
      <c r="E782" s="19"/>
      <c r="F782" s="19"/>
      <c r="G782" s="19"/>
      <c r="H782" s="19"/>
      <c r="I782" s="19"/>
      <c r="J782" s="19"/>
      <c r="K782" s="19"/>
    </row>
    <row r="783"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>
      <c r="B784" s="19"/>
      <c r="C784" s="19"/>
      <c r="D784" s="19"/>
      <c r="E784" s="19"/>
      <c r="F784" s="19"/>
      <c r="G784" s="19"/>
      <c r="H784" s="19"/>
      <c r="I784" s="19"/>
      <c r="J784" s="19"/>
      <c r="K784" s="19"/>
    </row>
    <row r="785">
      <c r="B785" s="19"/>
      <c r="C785" s="19"/>
      <c r="D785" s="19"/>
      <c r="E785" s="19"/>
      <c r="F785" s="19"/>
      <c r="G785" s="19"/>
      <c r="H785" s="19"/>
      <c r="I785" s="19"/>
      <c r="J785" s="19"/>
      <c r="K785" s="19"/>
    </row>
    <row r="786">
      <c r="B786" s="19"/>
      <c r="C786" s="19"/>
      <c r="D786" s="19"/>
      <c r="E786" s="19"/>
      <c r="F786" s="19"/>
      <c r="G786" s="19"/>
      <c r="H786" s="19"/>
      <c r="I786" s="19"/>
      <c r="J786" s="19"/>
      <c r="K786" s="19"/>
    </row>
    <row r="787">
      <c r="B787" s="19"/>
      <c r="C787" s="19"/>
      <c r="D787" s="19"/>
      <c r="E787" s="19"/>
      <c r="F787" s="19"/>
      <c r="G787" s="19"/>
      <c r="H787" s="19"/>
      <c r="I787" s="19"/>
      <c r="J787" s="19"/>
      <c r="K787" s="19"/>
    </row>
    <row r="788">
      <c r="B788" s="19"/>
      <c r="C788" s="19"/>
      <c r="D788" s="19"/>
      <c r="E788" s="19"/>
      <c r="F788" s="19"/>
      <c r="G788" s="19"/>
      <c r="H788" s="19"/>
      <c r="I788" s="19"/>
      <c r="J788" s="19"/>
      <c r="K788" s="19"/>
    </row>
    <row r="789">
      <c r="B789" s="19"/>
      <c r="C789" s="19"/>
      <c r="D789" s="19"/>
      <c r="E789" s="19"/>
      <c r="F789" s="19"/>
      <c r="G789" s="19"/>
      <c r="H789" s="19"/>
      <c r="I789" s="19"/>
      <c r="J789" s="19"/>
      <c r="K789" s="19"/>
    </row>
    <row r="790">
      <c r="B790" s="19"/>
      <c r="C790" s="19"/>
      <c r="D790" s="19"/>
      <c r="E790" s="19"/>
      <c r="F790" s="19"/>
      <c r="G790" s="19"/>
      <c r="H790" s="19"/>
      <c r="I790" s="19"/>
      <c r="J790" s="19"/>
      <c r="K790" s="19"/>
    </row>
    <row r="791">
      <c r="B791" s="19"/>
      <c r="C791" s="19"/>
      <c r="D791" s="19"/>
      <c r="E791" s="19"/>
      <c r="F791" s="19"/>
      <c r="G791" s="19"/>
      <c r="H791" s="19"/>
      <c r="I791" s="19"/>
      <c r="J791" s="19"/>
      <c r="K791" s="19"/>
    </row>
    <row r="792">
      <c r="B792" s="19"/>
      <c r="C792" s="19"/>
      <c r="D792" s="19"/>
      <c r="E792" s="19"/>
      <c r="F792" s="19"/>
      <c r="G792" s="19"/>
      <c r="H792" s="19"/>
      <c r="I792" s="19"/>
      <c r="J792" s="19"/>
      <c r="K792" s="19"/>
    </row>
    <row r="793">
      <c r="B793" s="19"/>
      <c r="C793" s="19"/>
      <c r="D793" s="19"/>
      <c r="E793" s="19"/>
      <c r="F793" s="19"/>
      <c r="G793" s="19"/>
      <c r="H793" s="19"/>
      <c r="I793" s="19"/>
      <c r="J793" s="19"/>
      <c r="K793" s="19"/>
    </row>
    <row r="794">
      <c r="B794" s="19"/>
      <c r="C794" s="19"/>
      <c r="D794" s="19"/>
      <c r="E794" s="19"/>
      <c r="F794" s="19"/>
      <c r="G794" s="19"/>
      <c r="H794" s="19"/>
      <c r="I794" s="19"/>
      <c r="J794" s="19"/>
      <c r="K794" s="19"/>
    </row>
    <row r="795">
      <c r="B795" s="19"/>
      <c r="C795" s="19"/>
      <c r="D795" s="19"/>
      <c r="E795" s="19"/>
      <c r="F795" s="19"/>
      <c r="G795" s="19"/>
      <c r="H795" s="19"/>
      <c r="I795" s="19"/>
      <c r="J795" s="19"/>
      <c r="K795" s="19"/>
    </row>
    <row r="796">
      <c r="B796" s="19"/>
      <c r="C796" s="19"/>
      <c r="D796" s="19"/>
      <c r="E796" s="19"/>
      <c r="F796" s="19"/>
      <c r="G796" s="19"/>
      <c r="H796" s="19"/>
      <c r="I796" s="19"/>
      <c r="J796" s="19"/>
      <c r="K796" s="19"/>
    </row>
    <row r="797">
      <c r="B797" s="19"/>
      <c r="C797" s="19"/>
      <c r="D797" s="19"/>
      <c r="E797" s="19"/>
      <c r="F797" s="19"/>
      <c r="G797" s="19"/>
      <c r="H797" s="19"/>
      <c r="I797" s="19"/>
      <c r="J797" s="19"/>
      <c r="K797" s="19"/>
    </row>
    <row r="798">
      <c r="B798" s="19"/>
      <c r="C798" s="19"/>
      <c r="D798" s="19"/>
      <c r="E798" s="19"/>
      <c r="F798" s="19"/>
      <c r="G798" s="19"/>
      <c r="H798" s="19"/>
      <c r="I798" s="19"/>
      <c r="J798" s="19"/>
      <c r="K798" s="19"/>
    </row>
    <row r="799">
      <c r="B799" s="19"/>
      <c r="C799" s="19"/>
      <c r="D799" s="19"/>
      <c r="E799" s="19"/>
      <c r="F799" s="19"/>
      <c r="G799" s="19"/>
      <c r="H799" s="19"/>
      <c r="I799" s="19"/>
      <c r="J799" s="19"/>
      <c r="K799" s="19"/>
    </row>
    <row r="800">
      <c r="B800" s="19"/>
      <c r="C800" s="19"/>
      <c r="D800" s="19"/>
      <c r="E800" s="19"/>
      <c r="F800" s="19"/>
      <c r="G800" s="19"/>
      <c r="H800" s="19"/>
      <c r="I800" s="19"/>
      <c r="J800" s="19"/>
      <c r="K800" s="19"/>
    </row>
    <row r="801">
      <c r="B801" s="19"/>
      <c r="C801" s="19"/>
      <c r="D801" s="19"/>
      <c r="E801" s="19"/>
      <c r="F801" s="19"/>
      <c r="G801" s="19"/>
      <c r="H801" s="19"/>
      <c r="I801" s="19"/>
      <c r="J801" s="19"/>
      <c r="K801" s="19"/>
    </row>
    <row r="802">
      <c r="B802" s="19"/>
      <c r="C802" s="19"/>
      <c r="D802" s="19"/>
      <c r="E802" s="19"/>
      <c r="F802" s="19"/>
      <c r="G802" s="19"/>
      <c r="H802" s="19"/>
      <c r="I802" s="19"/>
      <c r="J802" s="19"/>
      <c r="K802" s="19"/>
    </row>
    <row r="803">
      <c r="B803" s="19"/>
      <c r="C803" s="19"/>
      <c r="D803" s="19"/>
      <c r="E803" s="19"/>
      <c r="F803" s="19"/>
      <c r="G803" s="19"/>
      <c r="H803" s="19"/>
      <c r="I803" s="19"/>
      <c r="J803" s="19"/>
      <c r="K803" s="19"/>
    </row>
    <row r="804">
      <c r="B804" s="19"/>
      <c r="C804" s="19"/>
      <c r="D804" s="19"/>
      <c r="E804" s="19"/>
      <c r="F804" s="19"/>
      <c r="G804" s="19"/>
      <c r="H804" s="19"/>
      <c r="I804" s="19"/>
      <c r="J804" s="19"/>
      <c r="K804" s="19"/>
    </row>
    <row r="805">
      <c r="B805" s="19"/>
      <c r="C805" s="19"/>
      <c r="D805" s="19"/>
      <c r="E805" s="19"/>
      <c r="F805" s="19"/>
      <c r="G805" s="19"/>
      <c r="H805" s="19"/>
      <c r="I805" s="19"/>
      <c r="J805" s="19"/>
      <c r="K805" s="19"/>
    </row>
    <row r="806">
      <c r="B806" s="19"/>
      <c r="C806" s="19"/>
      <c r="D806" s="19"/>
      <c r="E806" s="19"/>
      <c r="F806" s="19"/>
      <c r="G806" s="19"/>
      <c r="H806" s="19"/>
      <c r="I806" s="19"/>
      <c r="J806" s="19"/>
      <c r="K806" s="19"/>
    </row>
    <row r="807">
      <c r="B807" s="19"/>
      <c r="C807" s="19"/>
      <c r="D807" s="19"/>
      <c r="E807" s="19"/>
      <c r="F807" s="19"/>
      <c r="G807" s="19"/>
      <c r="H807" s="19"/>
      <c r="I807" s="19"/>
      <c r="J807" s="19"/>
      <c r="K807" s="19"/>
    </row>
    <row r="808">
      <c r="B808" s="19"/>
      <c r="C808" s="19"/>
      <c r="D808" s="19"/>
      <c r="E808" s="19"/>
      <c r="F808" s="19"/>
      <c r="G808" s="19"/>
      <c r="H808" s="19"/>
      <c r="I808" s="19"/>
      <c r="J808" s="19"/>
      <c r="K808" s="19"/>
    </row>
    <row r="809">
      <c r="B809" s="19"/>
      <c r="C809" s="19"/>
      <c r="D809" s="19"/>
      <c r="E809" s="19"/>
      <c r="F809" s="19"/>
      <c r="G809" s="19"/>
      <c r="H809" s="19"/>
      <c r="I809" s="19"/>
      <c r="J809" s="19"/>
      <c r="K809" s="19"/>
    </row>
    <row r="810">
      <c r="B810" s="19"/>
      <c r="C810" s="19"/>
      <c r="D810" s="19"/>
      <c r="E810" s="19"/>
      <c r="F810" s="19"/>
      <c r="G810" s="19"/>
      <c r="H810" s="19"/>
      <c r="I810" s="19"/>
      <c r="J810" s="19"/>
      <c r="K810" s="19"/>
    </row>
    <row r="811">
      <c r="B811" s="19"/>
      <c r="C811" s="19"/>
      <c r="D811" s="19"/>
      <c r="E811" s="19"/>
      <c r="F811" s="19"/>
      <c r="G811" s="19"/>
      <c r="H811" s="19"/>
      <c r="I811" s="19"/>
      <c r="J811" s="19"/>
      <c r="K811" s="19"/>
    </row>
    <row r="812">
      <c r="B812" s="19"/>
      <c r="C812" s="19"/>
      <c r="D812" s="19"/>
      <c r="E812" s="19"/>
      <c r="F812" s="19"/>
      <c r="G812" s="19"/>
      <c r="H812" s="19"/>
      <c r="I812" s="19"/>
      <c r="J812" s="19"/>
      <c r="K812" s="19"/>
    </row>
    <row r="813">
      <c r="B813" s="19"/>
      <c r="C813" s="19"/>
      <c r="D813" s="19"/>
      <c r="E813" s="19"/>
      <c r="F813" s="19"/>
      <c r="G813" s="19"/>
      <c r="H813" s="19"/>
      <c r="I813" s="19"/>
      <c r="J813" s="19"/>
      <c r="K813" s="19"/>
    </row>
    <row r="814">
      <c r="B814" s="19"/>
      <c r="C814" s="19"/>
      <c r="D814" s="19"/>
      <c r="E814" s="19"/>
      <c r="F814" s="19"/>
      <c r="G814" s="19"/>
      <c r="H814" s="19"/>
      <c r="I814" s="19"/>
      <c r="J814" s="19"/>
      <c r="K814" s="19"/>
    </row>
    <row r="815">
      <c r="B815" s="19"/>
      <c r="C815" s="19"/>
      <c r="D815" s="19"/>
      <c r="E815" s="19"/>
      <c r="F815" s="19"/>
      <c r="G815" s="19"/>
      <c r="H815" s="19"/>
      <c r="I815" s="19"/>
      <c r="J815" s="19"/>
      <c r="K815" s="19"/>
    </row>
    <row r="816">
      <c r="B816" s="19"/>
      <c r="C816" s="19"/>
      <c r="D816" s="19"/>
      <c r="E816" s="19"/>
      <c r="F816" s="19"/>
      <c r="G816" s="19"/>
      <c r="H816" s="19"/>
      <c r="I816" s="19"/>
      <c r="J816" s="19"/>
      <c r="K816" s="19"/>
    </row>
    <row r="817">
      <c r="B817" s="19"/>
      <c r="C817" s="19"/>
      <c r="D817" s="19"/>
      <c r="E817" s="19"/>
      <c r="F817" s="19"/>
      <c r="G817" s="19"/>
      <c r="H817" s="19"/>
      <c r="I817" s="19"/>
      <c r="J817" s="19"/>
      <c r="K817" s="19"/>
    </row>
    <row r="818">
      <c r="B818" s="19"/>
      <c r="C818" s="19"/>
      <c r="D818" s="19"/>
      <c r="E818" s="19"/>
      <c r="F818" s="19"/>
      <c r="G818" s="19"/>
      <c r="H818" s="19"/>
      <c r="I818" s="19"/>
      <c r="J818" s="19"/>
      <c r="K818" s="19"/>
    </row>
    <row r="819">
      <c r="B819" s="19"/>
      <c r="C819" s="19"/>
      <c r="D819" s="19"/>
      <c r="E819" s="19"/>
      <c r="F819" s="19"/>
      <c r="G819" s="19"/>
      <c r="H819" s="19"/>
      <c r="I819" s="19"/>
      <c r="J819" s="19"/>
      <c r="K819" s="19"/>
    </row>
    <row r="820">
      <c r="B820" s="19"/>
      <c r="C820" s="19"/>
      <c r="D820" s="19"/>
      <c r="E820" s="19"/>
      <c r="F820" s="19"/>
      <c r="G820" s="19"/>
      <c r="H820" s="19"/>
      <c r="I820" s="19"/>
      <c r="J820" s="19"/>
      <c r="K820" s="19"/>
    </row>
    <row r="821">
      <c r="B821" s="19"/>
      <c r="C821" s="19"/>
      <c r="D821" s="19"/>
      <c r="E821" s="19"/>
      <c r="F821" s="19"/>
      <c r="G821" s="19"/>
      <c r="H821" s="19"/>
      <c r="I821" s="19"/>
      <c r="J821" s="19"/>
      <c r="K821" s="19"/>
    </row>
    <row r="822">
      <c r="B822" s="19"/>
      <c r="C822" s="19"/>
      <c r="D822" s="19"/>
      <c r="E822" s="19"/>
      <c r="F822" s="19"/>
      <c r="G822" s="19"/>
      <c r="H822" s="19"/>
      <c r="I822" s="19"/>
      <c r="J822" s="19"/>
      <c r="K822" s="19"/>
    </row>
    <row r="823">
      <c r="B823" s="19"/>
      <c r="C823" s="19"/>
      <c r="D823" s="19"/>
      <c r="E823" s="19"/>
      <c r="F823" s="19"/>
      <c r="G823" s="19"/>
      <c r="H823" s="19"/>
      <c r="I823" s="19"/>
      <c r="J823" s="19"/>
      <c r="K823" s="19"/>
    </row>
    <row r="824">
      <c r="B824" s="19"/>
      <c r="C824" s="19"/>
      <c r="D824" s="19"/>
      <c r="E824" s="19"/>
      <c r="F824" s="19"/>
      <c r="G824" s="19"/>
      <c r="H824" s="19"/>
      <c r="I824" s="19"/>
      <c r="J824" s="19"/>
      <c r="K824" s="19"/>
    </row>
    <row r="825">
      <c r="B825" s="19"/>
      <c r="C825" s="19"/>
      <c r="D825" s="19"/>
      <c r="E825" s="19"/>
      <c r="F825" s="19"/>
      <c r="G825" s="19"/>
      <c r="H825" s="19"/>
      <c r="I825" s="19"/>
      <c r="J825" s="19"/>
      <c r="K825" s="19"/>
    </row>
    <row r="826">
      <c r="B826" s="19"/>
      <c r="C826" s="19"/>
      <c r="D826" s="19"/>
      <c r="E826" s="19"/>
      <c r="F826" s="19"/>
      <c r="G826" s="19"/>
      <c r="H826" s="19"/>
      <c r="I826" s="19"/>
      <c r="J826" s="19"/>
      <c r="K826" s="19"/>
    </row>
    <row r="827">
      <c r="B827" s="19"/>
      <c r="C827" s="19"/>
      <c r="D827" s="19"/>
      <c r="E827" s="19"/>
      <c r="F827" s="19"/>
      <c r="G827" s="19"/>
      <c r="H827" s="19"/>
      <c r="I827" s="19"/>
      <c r="J827" s="19"/>
      <c r="K827" s="19"/>
    </row>
    <row r="828">
      <c r="B828" s="19"/>
      <c r="C828" s="19"/>
      <c r="D828" s="19"/>
      <c r="E828" s="19"/>
      <c r="F828" s="19"/>
      <c r="G828" s="19"/>
      <c r="H828" s="19"/>
      <c r="I828" s="19"/>
      <c r="J828" s="19"/>
      <c r="K828" s="19"/>
    </row>
    <row r="829">
      <c r="B829" s="19"/>
      <c r="C829" s="19"/>
      <c r="D829" s="19"/>
      <c r="E829" s="19"/>
      <c r="F829" s="19"/>
      <c r="G829" s="19"/>
      <c r="H829" s="19"/>
      <c r="I829" s="19"/>
      <c r="J829" s="19"/>
      <c r="K829" s="19"/>
    </row>
    <row r="830">
      <c r="B830" s="19"/>
      <c r="C830" s="19"/>
      <c r="D830" s="19"/>
      <c r="E830" s="19"/>
      <c r="F830" s="19"/>
      <c r="G830" s="19"/>
      <c r="H830" s="19"/>
      <c r="I830" s="19"/>
      <c r="J830" s="19"/>
      <c r="K830" s="19"/>
    </row>
    <row r="831">
      <c r="B831" s="19"/>
      <c r="C831" s="19"/>
      <c r="D831" s="19"/>
      <c r="E831" s="19"/>
      <c r="F831" s="19"/>
      <c r="G831" s="19"/>
      <c r="H831" s="19"/>
      <c r="I831" s="19"/>
      <c r="J831" s="19"/>
      <c r="K831" s="19"/>
    </row>
    <row r="832">
      <c r="B832" s="19"/>
      <c r="C832" s="19"/>
      <c r="D832" s="19"/>
      <c r="E832" s="19"/>
      <c r="F832" s="19"/>
      <c r="G832" s="19"/>
      <c r="H832" s="19"/>
      <c r="I832" s="19"/>
      <c r="J832" s="19"/>
      <c r="K832" s="19"/>
    </row>
    <row r="833">
      <c r="B833" s="19"/>
      <c r="C833" s="19"/>
      <c r="D833" s="19"/>
      <c r="E833" s="19"/>
      <c r="F833" s="19"/>
      <c r="G833" s="19"/>
      <c r="H833" s="19"/>
      <c r="I833" s="19"/>
      <c r="J833" s="19"/>
      <c r="K833" s="19"/>
    </row>
    <row r="834">
      <c r="B834" s="19"/>
      <c r="C834" s="19"/>
      <c r="D834" s="19"/>
      <c r="E834" s="19"/>
      <c r="F834" s="19"/>
      <c r="G834" s="19"/>
      <c r="H834" s="19"/>
      <c r="I834" s="19"/>
      <c r="J834" s="19"/>
      <c r="K834" s="19"/>
    </row>
    <row r="835">
      <c r="B835" s="19"/>
      <c r="C835" s="19"/>
      <c r="D835" s="19"/>
      <c r="E835" s="19"/>
      <c r="F835" s="19"/>
      <c r="G835" s="19"/>
      <c r="H835" s="19"/>
      <c r="I835" s="19"/>
      <c r="J835" s="19"/>
      <c r="K835" s="19"/>
    </row>
    <row r="836">
      <c r="B836" s="19"/>
      <c r="C836" s="19"/>
      <c r="D836" s="19"/>
      <c r="E836" s="19"/>
      <c r="F836" s="19"/>
      <c r="G836" s="19"/>
      <c r="H836" s="19"/>
      <c r="I836" s="19"/>
      <c r="J836" s="19"/>
      <c r="K836" s="19"/>
    </row>
    <row r="837">
      <c r="B837" s="19"/>
      <c r="C837" s="19"/>
      <c r="D837" s="19"/>
      <c r="E837" s="19"/>
      <c r="F837" s="19"/>
      <c r="G837" s="19"/>
      <c r="H837" s="19"/>
      <c r="I837" s="19"/>
      <c r="J837" s="19"/>
      <c r="K837" s="19"/>
    </row>
    <row r="838">
      <c r="B838" s="19"/>
      <c r="C838" s="19"/>
      <c r="D838" s="19"/>
      <c r="E838" s="19"/>
      <c r="F838" s="19"/>
      <c r="G838" s="19"/>
      <c r="H838" s="19"/>
      <c r="I838" s="19"/>
      <c r="J838" s="19"/>
      <c r="K838" s="19"/>
    </row>
    <row r="839">
      <c r="B839" s="19"/>
      <c r="C839" s="19"/>
      <c r="D839" s="19"/>
      <c r="E839" s="19"/>
      <c r="F839" s="19"/>
      <c r="G839" s="19"/>
      <c r="H839" s="19"/>
      <c r="I839" s="19"/>
      <c r="J839" s="19"/>
      <c r="K839" s="19"/>
    </row>
    <row r="840">
      <c r="B840" s="19"/>
      <c r="C840" s="19"/>
      <c r="D840" s="19"/>
      <c r="E840" s="19"/>
      <c r="F840" s="19"/>
      <c r="G840" s="19"/>
      <c r="H840" s="19"/>
      <c r="I840" s="19"/>
      <c r="J840" s="19"/>
      <c r="K840" s="19"/>
    </row>
    <row r="841">
      <c r="B841" s="19"/>
      <c r="C841" s="19"/>
      <c r="D841" s="19"/>
      <c r="E841" s="19"/>
      <c r="F841" s="19"/>
      <c r="G841" s="19"/>
      <c r="H841" s="19"/>
      <c r="I841" s="19"/>
      <c r="J841" s="19"/>
      <c r="K841" s="19"/>
    </row>
    <row r="842">
      <c r="B842" s="19"/>
      <c r="C842" s="19"/>
      <c r="D842" s="19"/>
      <c r="E842" s="19"/>
      <c r="F842" s="19"/>
      <c r="G842" s="19"/>
      <c r="H842" s="19"/>
      <c r="I842" s="19"/>
      <c r="J842" s="19"/>
      <c r="K842" s="19"/>
    </row>
    <row r="843">
      <c r="B843" s="19"/>
      <c r="C843" s="19"/>
      <c r="D843" s="19"/>
      <c r="E843" s="19"/>
      <c r="F843" s="19"/>
      <c r="G843" s="19"/>
      <c r="H843" s="19"/>
      <c r="I843" s="19"/>
      <c r="J843" s="19"/>
      <c r="K843" s="19"/>
    </row>
    <row r="844">
      <c r="B844" s="19"/>
      <c r="C844" s="19"/>
      <c r="D844" s="19"/>
      <c r="E844" s="19"/>
      <c r="F844" s="19"/>
      <c r="G844" s="19"/>
      <c r="H844" s="19"/>
      <c r="I844" s="19"/>
      <c r="J844" s="19"/>
      <c r="K844" s="19"/>
    </row>
    <row r="845">
      <c r="B845" s="19"/>
      <c r="C845" s="19"/>
      <c r="D845" s="19"/>
      <c r="E845" s="19"/>
      <c r="F845" s="19"/>
      <c r="G845" s="19"/>
      <c r="H845" s="19"/>
      <c r="I845" s="19"/>
      <c r="J845" s="19"/>
      <c r="K845" s="19"/>
    </row>
    <row r="846">
      <c r="B846" s="19"/>
      <c r="C846" s="19"/>
      <c r="D846" s="19"/>
      <c r="E846" s="19"/>
      <c r="F846" s="19"/>
      <c r="G846" s="19"/>
      <c r="H846" s="19"/>
      <c r="I846" s="19"/>
      <c r="J846" s="19"/>
      <c r="K846" s="19"/>
    </row>
    <row r="847">
      <c r="B847" s="19"/>
      <c r="C847" s="19"/>
      <c r="D847" s="19"/>
      <c r="E847" s="19"/>
      <c r="F847" s="19"/>
      <c r="G847" s="19"/>
      <c r="H847" s="19"/>
      <c r="I847" s="19"/>
      <c r="J847" s="19"/>
      <c r="K847" s="19"/>
    </row>
    <row r="848">
      <c r="B848" s="19"/>
      <c r="C848" s="19"/>
      <c r="D848" s="19"/>
      <c r="E848" s="19"/>
      <c r="F848" s="19"/>
      <c r="G848" s="19"/>
      <c r="H848" s="19"/>
      <c r="I848" s="19"/>
      <c r="J848" s="19"/>
      <c r="K848" s="19"/>
    </row>
    <row r="849">
      <c r="B849" s="19"/>
      <c r="C849" s="19"/>
      <c r="D849" s="19"/>
      <c r="E849" s="19"/>
      <c r="F849" s="19"/>
      <c r="G849" s="19"/>
      <c r="H849" s="19"/>
      <c r="I849" s="19"/>
      <c r="J849" s="19"/>
      <c r="K849" s="19"/>
    </row>
    <row r="850">
      <c r="B850" s="19"/>
      <c r="C850" s="19"/>
      <c r="D850" s="19"/>
      <c r="E850" s="19"/>
      <c r="F850" s="19"/>
      <c r="G850" s="19"/>
      <c r="H850" s="19"/>
      <c r="I850" s="19"/>
      <c r="J850" s="19"/>
      <c r="K850" s="19"/>
    </row>
    <row r="851">
      <c r="B851" s="19"/>
      <c r="C851" s="19"/>
      <c r="D851" s="19"/>
      <c r="E851" s="19"/>
      <c r="F851" s="19"/>
      <c r="G851" s="19"/>
      <c r="H851" s="19"/>
      <c r="I851" s="19"/>
      <c r="J851" s="19"/>
      <c r="K851" s="19"/>
    </row>
    <row r="852">
      <c r="B852" s="19"/>
      <c r="C852" s="19"/>
      <c r="D852" s="19"/>
      <c r="E852" s="19"/>
      <c r="F852" s="19"/>
      <c r="G852" s="19"/>
      <c r="H852" s="19"/>
      <c r="I852" s="19"/>
      <c r="J852" s="19"/>
      <c r="K852" s="19"/>
    </row>
    <row r="853">
      <c r="B853" s="19"/>
      <c r="C853" s="19"/>
      <c r="D853" s="19"/>
      <c r="E853" s="19"/>
      <c r="F853" s="19"/>
      <c r="G853" s="19"/>
      <c r="H853" s="19"/>
      <c r="I853" s="19"/>
      <c r="J853" s="19"/>
      <c r="K853" s="19"/>
    </row>
    <row r="854">
      <c r="B854" s="19"/>
      <c r="C854" s="19"/>
      <c r="D854" s="19"/>
      <c r="E854" s="19"/>
      <c r="F854" s="19"/>
      <c r="G854" s="19"/>
      <c r="H854" s="19"/>
      <c r="I854" s="19"/>
      <c r="J854" s="19"/>
      <c r="K854" s="19"/>
    </row>
    <row r="855">
      <c r="B855" s="19"/>
      <c r="C855" s="19"/>
      <c r="D855" s="19"/>
      <c r="E855" s="19"/>
      <c r="F855" s="19"/>
      <c r="G855" s="19"/>
      <c r="H855" s="19"/>
      <c r="I855" s="19"/>
      <c r="J855" s="19"/>
      <c r="K855" s="19"/>
    </row>
    <row r="856">
      <c r="B856" s="19"/>
      <c r="C856" s="19"/>
      <c r="D856" s="19"/>
      <c r="E856" s="19"/>
      <c r="F856" s="19"/>
      <c r="G856" s="19"/>
      <c r="H856" s="19"/>
      <c r="I856" s="19"/>
      <c r="J856" s="19"/>
      <c r="K856" s="19"/>
    </row>
    <row r="857">
      <c r="B857" s="19"/>
      <c r="C857" s="19"/>
      <c r="D857" s="19"/>
      <c r="E857" s="19"/>
      <c r="F857" s="19"/>
      <c r="G857" s="19"/>
      <c r="H857" s="19"/>
      <c r="I857" s="19"/>
      <c r="J857" s="19"/>
      <c r="K857" s="19"/>
    </row>
    <row r="858">
      <c r="B858" s="19"/>
      <c r="C858" s="19"/>
      <c r="D858" s="19"/>
      <c r="E858" s="19"/>
      <c r="F858" s="19"/>
      <c r="G858" s="19"/>
      <c r="H858" s="19"/>
      <c r="I858" s="19"/>
      <c r="J858" s="19"/>
      <c r="K858" s="19"/>
    </row>
    <row r="859">
      <c r="B859" s="19"/>
      <c r="C859" s="19"/>
      <c r="D859" s="19"/>
      <c r="E859" s="19"/>
      <c r="F859" s="19"/>
      <c r="G859" s="19"/>
      <c r="H859" s="19"/>
      <c r="I859" s="19"/>
      <c r="J859" s="19"/>
      <c r="K859" s="19"/>
    </row>
    <row r="860">
      <c r="B860" s="19"/>
      <c r="C860" s="19"/>
      <c r="D860" s="19"/>
      <c r="E860" s="19"/>
      <c r="F860" s="19"/>
      <c r="G860" s="19"/>
      <c r="H860" s="19"/>
      <c r="I860" s="19"/>
      <c r="J860" s="19"/>
      <c r="K860" s="19"/>
    </row>
    <row r="861">
      <c r="B861" s="19"/>
      <c r="C861" s="19"/>
      <c r="D861" s="19"/>
      <c r="E861" s="19"/>
      <c r="F861" s="19"/>
      <c r="G861" s="19"/>
      <c r="H861" s="19"/>
      <c r="I861" s="19"/>
      <c r="J861" s="19"/>
      <c r="K861" s="19"/>
    </row>
    <row r="862">
      <c r="B862" s="19"/>
      <c r="C862" s="19"/>
      <c r="D862" s="19"/>
      <c r="E862" s="19"/>
      <c r="F862" s="19"/>
      <c r="G862" s="19"/>
      <c r="H862" s="19"/>
      <c r="I862" s="19"/>
      <c r="J862" s="19"/>
      <c r="K862" s="19"/>
    </row>
    <row r="863">
      <c r="B863" s="19"/>
      <c r="C863" s="19"/>
      <c r="D863" s="19"/>
      <c r="E863" s="19"/>
      <c r="F863" s="19"/>
      <c r="G863" s="19"/>
      <c r="H863" s="19"/>
      <c r="I863" s="19"/>
      <c r="J863" s="19"/>
      <c r="K863" s="19"/>
    </row>
    <row r="864">
      <c r="B864" s="19"/>
      <c r="C864" s="19"/>
      <c r="D864" s="19"/>
      <c r="E864" s="19"/>
      <c r="F864" s="19"/>
      <c r="G864" s="19"/>
      <c r="H864" s="19"/>
      <c r="I864" s="19"/>
      <c r="J864" s="19"/>
      <c r="K864" s="19"/>
    </row>
    <row r="865">
      <c r="B865" s="19"/>
      <c r="C865" s="19"/>
      <c r="D865" s="19"/>
      <c r="E865" s="19"/>
      <c r="F865" s="19"/>
      <c r="G865" s="19"/>
      <c r="H865" s="19"/>
      <c r="I865" s="19"/>
      <c r="J865" s="19"/>
      <c r="K865" s="19"/>
    </row>
    <row r="866">
      <c r="B866" s="19"/>
      <c r="C866" s="19"/>
      <c r="D866" s="19"/>
      <c r="E866" s="19"/>
      <c r="F866" s="19"/>
      <c r="G866" s="19"/>
      <c r="H866" s="19"/>
      <c r="I866" s="19"/>
      <c r="J866" s="19"/>
      <c r="K866" s="19"/>
    </row>
    <row r="867">
      <c r="B867" s="19"/>
      <c r="C867" s="19"/>
      <c r="D867" s="19"/>
      <c r="E867" s="19"/>
      <c r="F867" s="19"/>
      <c r="G867" s="19"/>
      <c r="H867" s="19"/>
      <c r="I867" s="19"/>
      <c r="J867" s="19"/>
      <c r="K867" s="19"/>
    </row>
    <row r="868">
      <c r="B868" s="19"/>
      <c r="C868" s="19"/>
      <c r="D868" s="19"/>
      <c r="E868" s="19"/>
      <c r="F868" s="19"/>
      <c r="G868" s="19"/>
      <c r="H868" s="19"/>
      <c r="I868" s="19"/>
      <c r="J868" s="19"/>
      <c r="K868" s="19"/>
    </row>
    <row r="869">
      <c r="B869" s="19"/>
      <c r="C869" s="19"/>
      <c r="D869" s="19"/>
      <c r="E869" s="19"/>
      <c r="F869" s="19"/>
      <c r="G869" s="19"/>
      <c r="H869" s="19"/>
      <c r="I869" s="19"/>
      <c r="J869" s="19"/>
      <c r="K869" s="19"/>
    </row>
    <row r="870">
      <c r="B870" s="19"/>
      <c r="C870" s="19"/>
      <c r="D870" s="19"/>
      <c r="E870" s="19"/>
      <c r="F870" s="19"/>
      <c r="G870" s="19"/>
      <c r="H870" s="19"/>
      <c r="I870" s="19"/>
      <c r="J870" s="19"/>
      <c r="K870" s="19"/>
    </row>
    <row r="871">
      <c r="B871" s="19"/>
      <c r="C871" s="19"/>
      <c r="D871" s="19"/>
      <c r="E871" s="19"/>
      <c r="F871" s="19"/>
      <c r="G871" s="19"/>
      <c r="H871" s="19"/>
      <c r="I871" s="19"/>
      <c r="J871" s="19"/>
      <c r="K871" s="19"/>
    </row>
    <row r="872">
      <c r="B872" s="19"/>
      <c r="C872" s="19"/>
      <c r="D872" s="19"/>
      <c r="E872" s="19"/>
      <c r="F872" s="19"/>
      <c r="G872" s="19"/>
      <c r="H872" s="19"/>
      <c r="I872" s="19"/>
      <c r="J872" s="19"/>
      <c r="K872" s="19"/>
    </row>
    <row r="873">
      <c r="B873" s="19"/>
      <c r="C873" s="19"/>
      <c r="D873" s="19"/>
      <c r="E873" s="19"/>
      <c r="F873" s="19"/>
      <c r="G873" s="19"/>
      <c r="H873" s="19"/>
      <c r="I873" s="19"/>
      <c r="J873" s="19"/>
      <c r="K873" s="19"/>
    </row>
    <row r="874">
      <c r="B874" s="19"/>
      <c r="C874" s="19"/>
      <c r="D874" s="19"/>
      <c r="E874" s="19"/>
      <c r="F874" s="19"/>
      <c r="G874" s="19"/>
      <c r="H874" s="19"/>
      <c r="I874" s="19"/>
      <c r="J874" s="19"/>
      <c r="K874" s="19"/>
    </row>
    <row r="875">
      <c r="B875" s="19"/>
      <c r="C875" s="19"/>
      <c r="D875" s="19"/>
      <c r="E875" s="19"/>
      <c r="F875" s="19"/>
      <c r="G875" s="19"/>
      <c r="H875" s="19"/>
      <c r="I875" s="19"/>
      <c r="J875" s="19"/>
      <c r="K875" s="19"/>
    </row>
    <row r="876">
      <c r="B876" s="19"/>
      <c r="C876" s="19"/>
      <c r="D876" s="19"/>
      <c r="E876" s="19"/>
      <c r="F876" s="19"/>
      <c r="G876" s="19"/>
      <c r="H876" s="19"/>
      <c r="I876" s="19"/>
      <c r="J876" s="19"/>
      <c r="K876" s="19"/>
    </row>
    <row r="877">
      <c r="B877" s="19"/>
      <c r="C877" s="19"/>
      <c r="D877" s="19"/>
      <c r="E877" s="19"/>
      <c r="F877" s="19"/>
      <c r="G877" s="19"/>
      <c r="H877" s="19"/>
      <c r="I877" s="19"/>
      <c r="J877" s="19"/>
      <c r="K877" s="19"/>
    </row>
    <row r="878">
      <c r="B878" s="19"/>
      <c r="C878" s="19"/>
      <c r="D878" s="19"/>
      <c r="E878" s="19"/>
      <c r="F878" s="19"/>
      <c r="G878" s="19"/>
      <c r="H878" s="19"/>
      <c r="I878" s="19"/>
      <c r="J878" s="19"/>
      <c r="K878" s="19"/>
    </row>
    <row r="879">
      <c r="B879" s="19"/>
      <c r="C879" s="19"/>
      <c r="D879" s="19"/>
      <c r="E879" s="19"/>
      <c r="F879" s="19"/>
      <c r="G879" s="19"/>
      <c r="H879" s="19"/>
      <c r="I879" s="19"/>
      <c r="J879" s="19"/>
      <c r="K879" s="19"/>
    </row>
    <row r="880">
      <c r="B880" s="19"/>
      <c r="C880" s="19"/>
      <c r="D880" s="19"/>
      <c r="E880" s="19"/>
      <c r="F880" s="19"/>
      <c r="G880" s="19"/>
      <c r="H880" s="19"/>
      <c r="I880" s="19"/>
      <c r="J880" s="19"/>
      <c r="K880" s="19"/>
    </row>
    <row r="881">
      <c r="B881" s="19"/>
      <c r="C881" s="19"/>
      <c r="D881" s="19"/>
      <c r="E881" s="19"/>
      <c r="F881" s="19"/>
      <c r="G881" s="19"/>
      <c r="H881" s="19"/>
      <c r="I881" s="19"/>
      <c r="J881" s="19"/>
      <c r="K881" s="19"/>
    </row>
    <row r="882">
      <c r="B882" s="19"/>
      <c r="C882" s="19"/>
      <c r="D882" s="19"/>
      <c r="E882" s="19"/>
      <c r="F882" s="19"/>
      <c r="G882" s="19"/>
      <c r="H882" s="19"/>
      <c r="I882" s="19"/>
      <c r="J882" s="19"/>
      <c r="K882" s="19"/>
    </row>
    <row r="883">
      <c r="B883" s="19"/>
      <c r="C883" s="19"/>
      <c r="D883" s="19"/>
      <c r="E883" s="19"/>
      <c r="F883" s="19"/>
      <c r="G883" s="19"/>
      <c r="H883" s="19"/>
      <c r="I883" s="19"/>
      <c r="J883" s="19"/>
      <c r="K883" s="19"/>
    </row>
    <row r="884">
      <c r="B884" s="19"/>
      <c r="C884" s="19"/>
      <c r="D884" s="19"/>
      <c r="E884" s="19"/>
      <c r="F884" s="19"/>
      <c r="G884" s="19"/>
      <c r="H884" s="19"/>
      <c r="I884" s="19"/>
      <c r="J884" s="19"/>
      <c r="K884" s="19"/>
    </row>
    <row r="885">
      <c r="B885" s="19"/>
      <c r="C885" s="19"/>
      <c r="D885" s="19"/>
      <c r="E885" s="19"/>
      <c r="F885" s="19"/>
      <c r="G885" s="19"/>
      <c r="H885" s="19"/>
      <c r="I885" s="19"/>
      <c r="J885" s="19"/>
      <c r="K885" s="19"/>
    </row>
    <row r="886">
      <c r="B886" s="19"/>
      <c r="C886" s="19"/>
      <c r="D886" s="19"/>
      <c r="E886" s="19"/>
      <c r="F886" s="19"/>
      <c r="G886" s="19"/>
      <c r="H886" s="19"/>
      <c r="I886" s="19"/>
      <c r="J886" s="19"/>
      <c r="K886" s="19"/>
    </row>
    <row r="887">
      <c r="B887" s="19"/>
      <c r="C887" s="19"/>
      <c r="D887" s="19"/>
      <c r="E887" s="19"/>
      <c r="F887" s="19"/>
      <c r="G887" s="19"/>
      <c r="H887" s="19"/>
      <c r="I887" s="19"/>
      <c r="J887" s="19"/>
      <c r="K887" s="19"/>
    </row>
    <row r="888">
      <c r="B888" s="19"/>
      <c r="C888" s="19"/>
      <c r="D888" s="19"/>
      <c r="E888" s="19"/>
      <c r="F888" s="19"/>
      <c r="G888" s="19"/>
      <c r="H888" s="19"/>
      <c r="I888" s="19"/>
      <c r="J888" s="19"/>
      <c r="K888" s="19"/>
    </row>
    <row r="889">
      <c r="B889" s="19"/>
      <c r="C889" s="19"/>
      <c r="D889" s="19"/>
      <c r="E889" s="19"/>
      <c r="F889" s="19"/>
      <c r="G889" s="19"/>
      <c r="H889" s="19"/>
      <c r="I889" s="19"/>
      <c r="J889" s="19"/>
      <c r="K889" s="19"/>
    </row>
    <row r="890">
      <c r="B890" s="19"/>
      <c r="C890" s="19"/>
      <c r="D890" s="19"/>
      <c r="E890" s="19"/>
      <c r="F890" s="19"/>
      <c r="G890" s="19"/>
      <c r="H890" s="19"/>
      <c r="I890" s="19"/>
      <c r="J890" s="19"/>
      <c r="K890" s="19"/>
    </row>
    <row r="891">
      <c r="B891" s="19"/>
      <c r="C891" s="19"/>
      <c r="D891" s="19"/>
      <c r="E891" s="19"/>
      <c r="F891" s="19"/>
      <c r="G891" s="19"/>
      <c r="H891" s="19"/>
      <c r="I891" s="19"/>
      <c r="J891" s="19"/>
      <c r="K891" s="19"/>
    </row>
    <row r="892">
      <c r="B892" s="19"/>
      <c r="C892" s="19"/>
      <c r="D892" s="19"/>
      <c r="E892" s="19"/>
      <c r="F892" s="19"/>
      <c r="G892" s="19"/>
      <c r="H892" s="19"/>
      <c r="I892" s="19"/>
      <c r="J892" s="19"/>
      <c r="K892" s="19"/>
    </row>
    <row r="893">
      <c r="B893" s="19"/>
      <c r="C893" s="19"/>
      <c r="D893" s="19"/>
      <c r="E893" s="19"/>
      <c r="F893" s="19"/>
      <c r="G893" s="19"/>
      <c r="H893" s="19"/>
      <c r="I893" s="19"/>
      <c r="J893" s="19"/>
      <c r="K893" s="19"/>
    </row>
    <row r="894">
      <c r="B894" s="19"/>
      <c r="C894" s="19"/>
      <c r="D894" s="19"/>
      <c r="E894" s="19"/>
      <c r="F894" s="19"/>
      <c r="G894" s="19"/>
      <c r="H894" s="19"/>
      <c r="I894" s="19"/>
      <c r="J894" s="19"/>
      <c r="K894" s="19"/>
    </row>
    <row r="895">
      <c r="B895" s="19"/>
      <c r="C895" s="19"/>
      <c r="D895" s="19"/>
      <c r="E895" s="19"/>
      <c r="F895" s="19"/>
      <c r="G895" s="19"/>
      <c r="H895" s="19"/>
      <c r="I895" s="19"/>
      <c r="J895" s="19"/>
      <c r="K895" s="19"/>
    </row>
    <row r="896">
      <c r="B896" s="19"/>
      <c r="C896" s="19"/>
      <c r="D896" s="19"/>
      <c r="E896" s="19"/>
      <c r="F896" s="19"/>
      <c r="G896" s="19"/>
      <c r="H896" s="19"/>
      <c r="I896" s="19"/>
      <c r="J896" s="19"/>
      <c r="K896" s="19"/>
    </row>
    <row r="897">
      <c r="B897" s="19"/>
      <c r="C897" s="19"/>
      <c r="D897" s="19"/>
      <c r="E897" s="19"/>
      <c r="F897" s="19"/>
      <c r="G897" s="19"/>
      <c r="H897" s="19"/>
      <c r="I897" s="19"/>
      <c r="J897" s="19"/>
      <c r="K897" s="19"/>
    </row>
    <row r="898">
      <c r="B898" s="19"/>
      <c r="C898" s="19"/>
      <c r="D898" s="19"/>
      <c r="E898" s="19"/>
      <c r="F898" s="19"/>
      <c r="G898" s="19"/>
      <c r="H898" s="19"/>
      <c r="I898" s="19"/>
      <c r="J898" s="19"/>
      <c r="K898" s="19"/>
    </row>
    <row r="899">
      <c r="B899" s="19"/>
      <c r="C899" s="19"/>
      <c r="D899" s="19"/>
      <c r="E899" s="19"/>
      <c r="F899" s="19"/>
      <c r="G899" s="19"/>
      <c r="H899" s="19"/>
      <c r="I899" s="19"/>
      <c r="J899" s="19"/>
      <c r="K899" s="19"/>
    </row>
    <row r="900">
      <c r="B900" s="19"/>
      <c r="C900" s="19"/>
      <c r="D900" s="19"/>
      <c r="E900" s="19"/>
      <c r="F900" s="19"/>
      <c r="G900" s="19"/>
      <c r="H900" s="19"/>
      <c r="I900" s="19"/>
      <c r="J900" s="19"/>
      <c r="K900" s="19"/>
    </row>
    <row r="901">
      <c r="B901" s="19"/>
      <c r="C901" s="19"/>
      <c r="D901" s="19"/>
      <c r="E901" s="19"/>
      <c r="F901" s="19"/>
      <c r="G901" s="19"/>
      <c r="H901" s="19"/>
      <c r="I901" s="19"/>
      <c r="J901" s="19"/>
      <c r="K901" s="19"/>
    </row>
    <row r="902">
      <c r="B902" s="19"/>
      <c r="C902" s="19"/>
      <c r="D902" s="19"/>
      <c r="E902" s="19"/>
      <c r="F902" s="19"/>
      <c r="G902" s="19"/>
      <c r="H902" s="19"/>
      <c r="I902" s="19"/>
      <c r="J902" s="19"/>
      <c r="K902" s="19"/>
    </row>
    <row r="903">
      <c r="B903" s="19"/>
      <c r="C903" s="19"/>
      <c r="D903" s="19"/>
      <c r="E903" s="19"/>
      <c r="F903" s="19"/>
      <c r="G903" s="19"/>
      <c r="H903" s="19"/>
      <c r="I903" s="19"/>
      <c r="J903" s="19"/>
      <c r="K903" s="19"/>
    </row>
    <row r="904">
      <c r="B904" s="19"/>
      <c r="C904" s="19"/>
      <c r="D904" s="19"/>
      <c r="E904" s="19"/>
      <c r="F904" s="19"/>
      <c r="G904" s="19"/>
      <c r="H904" s="19"/>
      <c r="I904" s="19"/>
      <c r="J904" s="19"/>
      <c r="K904" s="19"/>
    </row>
    <row r="905">
      <c r="B905" s="19"/>
      <c r="C905" s="19"/>
      <c r="D905" s="19"/>
      <c r="E905" s="19"/>
      <c r="F905" s="19"/>
      <c r="G905" s="19"/>
      <c r="H905" s="19"/>
      <c r="I905" s="19"/>
      <c r="J905" s="19"/>
      <c r="K905" s="19"/>
    </row>
    <row r="906">
      <c r="B906" s="19"/>
      <c r="C906" s="19"/>
      <c r="D906" s="19"/>
      <c r="E906" s="19"/>
      <c r="F906" s="19"/>
      <c r="G906" s="19"/>
      <c r="H906" s="19"/>
      <c r="I906" s="19"/>
      <c r="J906" s="19"/>
      <c r="K906" s="19"/>
    </row>
    <row r="907">
      <c r="B907" s="19"/>
      <c r="C907" s="19"/>
      <c r="D907" s="19"/>
      <c r="E907" s="19"/>
      <c r="F907" s="19"/>
      <c r="G907" s="19"/>
      <c r="H907" s="19"/>
      <c r="I907" s="19"/>
      <c r="J907" s="19"/>
      <c r="K907" s="19"/>
    </row>
    <row r="908">
      <c r="B908" s="19"/>
      <c r="C908" s="19"/>
      <c r="D908" s="19"/>
      <c r="E908" s="19"/>
      <c r="F908" s="19"/>
      <c r="G908" s="19"/>
      <c r="H908" s="19"/>
      <c r="I908" s="19"/>
      <c r="J908" s="19"/>
      <c r="K908" s="19"/>
    </row>
    <row r="909">
      <c r="B909" s="19"/>
      <c r="C909" s="19"/>
      <c r="D909" s="19"/>
      <c r="E909" s="19"/>
      <c r="F909" s="19"/>
      <c r="G909" s="19"/>
      <c r="H909" s="19"/>
      <c r="I909" s="19"/>
      <c r="J909" s="19"/>
      <c r="K909" s="19"/>
    </row>
    <row r="910">
      <c r="B910" s="19"/>
      <c r="C910" s="19"/>
      <c r="D910" s="19"/>
      <c r="E910" s="19"/>
      <c r="F910" s="19"/>
      <c r="G910" s="19"/>
      <c r="H910" s="19"/>
      <c r="I910" s="19"/>
      <c r="J910" s="19"/>
      <c r="K910" s="19"/>
    </row>
    <row r="911">
      <c r="B911" s="19"/>
      <c r="C911" s="19"/>
      <c r="D911" s="19"/>
      <c r="E911" s="19"/>
      <c r="F911" s="19"/>
      <c r="G911" s="19"/>
      <c r="H911" s="19"/>
      <c r="I911" s="19"/>
      <c r="J911" s="19"/>
      <c r="K911" s="19"/>
    </row>
    <row r="912">
      <c r="B912" s="19"/>
      <c r="C912" s="19"/>
      <c r="D912" s="19"/>
      <c r="E912" s="19"/>
      <c r="F912" s="19"/>
      <c r="G912" s="19"/>
      <c r="H912" s="19"/>
      <c r="I912" s="19"/>
      <c r="J912" s="19"/>
      <c r="K912" s="19"/>
    </row>
    <row r="913">
      <c r="B913" s="19"/>
      <c r="C913" s="19"/>
      <c r="D913" s="19"/>
      <c r="E913" s="19"/>
      <c r="F913" s="19"/>
      <c r="G913" s="19"/>
      <c r="H913" s="19"/>
      <c r="I913" s="19"/>
      <c r="J913" s="19"/>
      <c r="K913" s="19"/>
    </row>
    <row r="914">
      <c r="B914" s="19"/>
      <c r="C914" s="19"/>
      <c r="D914" s="19"/>
      <c r="E914" s="19"/>
      <c r="F914" s="19"/>
      <c r="G914" s="19"/>
      <c r="H914" s="19"/>
      <c r="I914" s="19"/>
      <c r="J914" s="19"/>
      <c r="K914" s="19"/>
    </row>
    <row r="915">
      <c r="B915" s="19"/>
      <c r="C915" s="19"/>
      <c r="D915" s="19"/>
      <c r="E915" s="19"/>
      <c r="F915" s="19"/>
      <c r="G915" s="19"/>
      <c r="H915" s="19"/>
      <c r="I915" s="19"/>
      <c r="J915" s="19"/>
      <c r="K915" s="19"/>
    </row>
    <row r="916">
      <c r="B916" s="19"/>
      <c r="C916" s="19"/>
      <c r="D916" s="19"/>
      <c r="E916" s="19"/>
      <c r="F916" s="19"/>
      <c r="G916" s="19"/>
      <c r="H916" s="19"/>
      <c r="I916" s="19"/>
      <c r="J916" s="19"/>
      <c r="K916" s="19"/>
    </row>
    <row r="917">
      <c r="B917" s="19"/>
      <c r="C917" s="19"/>
      <c r="D917" s="19"/>
      <c r="E917" s="19"/>
      <c r="F917" s="19"/>
      <c r="G917" s="19"/>
      <c r="H917" s="19"/>
      <c r="I917" s="19"/>
      <c r="J917" s="19"/>
      <c r="K917" s="19"/>
    </row>
    <row r="918">
      <c r="B918" s="19"/>
      <c r="C918" s="19"/>
      <c r="D918" s="19"/>
      <c r="E918" s="19"/>
      <c r="F918" s="19"/>
      <c r="G918" s="19"/>
      <c r="H918" s="19"/>
      <c r="I918" s="19"/>
      <c r="J918" s="19"/>
      <c r="K918" s="19"/>
    </row>
    <row r="919">
      <c r="B919" s="19"/>
      <c r="C919" s="19"/>
      <c r="D919" s="19"/>
      <c r="E919" s="19"/>
      <c r="F919" s="19"/>
      <c r="G919" s="19"/>
      <c r="H919" s="19"/>
      <c r="I919" s="19"/>
      <c r="J919" s="19"/>
      <c r="K919" s="19"/>
    </row>
    <row r="920">
      <c r="B920" s="19"/>
      <c r="C920" s="19"/>
      <c r="D920" s="19"/>
      <c r="E920" s="19"/>
      <c r="F920" s="19"/>
      <c r="G920" s="19"/>
      <c r="H920" s="19"/>
      <c r="I920" s="19"/>
      <c r="J920" s="19"/>
      <c r="K920" s="19"/>
    </row>
    <row r="921">
      <c r="B921" s="19"/>
      <c r="C921" s="19"/>
      <c r="D921" s="19"/>
      <c r="E921" s="19"/>
      <c r="F921" s="19"/>
      <c r="G921" s="19"/>
      <c r="H921" s="19"/>
      <c r="I921" s="19"/>
      <c r="J921" s="19"/>
      <c r="K921" s="19"/>
    </row>
    <row r="922">
      <c r="B922" s="19"/>
      <c r="C922" s="19"/>
      <c r="D922" s="19"/>
      <c r="E922" s="19"/>
      <c r="F922" s="19"/>
      <c r="G922" s="19"/>
      <c r="H922" s="19"/>
      <c r="I922" s="19"/>
      <c r="J922" s="19"/>
      <c r="K922" s="19"/>
    </row>
    <row r="923">
      <c r="B923" s="19"/>
      <c r="C923" s="19"/>
      <c r="D923" s="19"/>
      <c r="E923" s="19"/>
      <c r="F923" s="19"/>
      <c r="G923" s="19"/>
      <c r="H923" s="19"/>
      <c r="I923" s="19"/>
      <c r="J923" s="19"/>
      <c r="K923" s="19"/>
    </row>
    <row r="924">
      <c r="B924" s="19"/>
      <c r="C924" s="19"/>
      <c r="D924" s="19"/>
      <c r="E924" s="19"/>
      <c r="F924" s="19"/>
      <c r="G924" s="19"/>
      <c r="H924" s="19"/>
      <c r="I924" s="19"/>
      <c r="J924" s="19"/>
      <c r="K924" s="19"/>
    </row>
    <row r="925">
      <c r="B925" s="19"/>
      <c r="C925" s="19"/>
      <c r="D925" s="19"/>
      <c r="E925" s="19"/>
      <c r="F925" s="19"/>
      <c r="G925" s="19"/>
      <c r="H925" s="19"/>
      <c r="I925" s="19"/>
      <c r="J925" s="19"/>
      <c r="K925" s="19"/>
    </row>
    <row r="926">
      <c r="B926" s="19"/>
      <c r="C926" s="19"/>
      <c r="D926" s="19"/>
      <c r="E926" s="19"/>
      <c r="F926" s="19"/>
      <c r="G926" s="19"/>
      <c r="H926" s="19"/>
      <c r="I926" s="19"/>
      <c r="J926" s="19"/>
      <c r="K926" s="19"/>
    </row>
    <row r="927">
      <c r="B927" s="19"/>
      <c r="C927" s="19"/>
      <c r="D927" s="19"/>
      <c r="E927" s="19"/>
      <c r="F927" s="19"/>
      <c r="G927" s="19"/>
      <c r="H927" s="19"/>
      <c r="I927" s="19"/>
      <c r="J927" s="19"/>
      <c r="K927" s="19"/>
    </row>
    <row r="928">
      <c r="B928" s="19"/>
      <c r="C928" s="19"/>
      <c r="D928" s="19"/>
      <c r="E928" s="19"/>
      <c r="F928" s="19"/>
      <c r="G928" s="19"/>
      <c r="H928" s="19"/>
      <c r="I928" s="19"/>
      <c r="J928" s="19"/>
      <c r="K928" s="19"/>
    </row>
    <row r="929">
      <c r="B929" s="19"/>
      <c r="C929" s="19"/>
      <c r="D929" s="19"/>
      <c r="E929" s="19"/>
      <c r="F929" s="19"/>
      <c r="G929" s="19"/>
      <c r="H929" s="19"/>
      <c r="I929" s="19"/>
      <c r="J929" s="19"/>
      <c r="K929" s="19"/>
    </row>
    <row r="930">
      <c r="B930" s="19"/>
      <c r="C930" s="19"/>
      <c r="D930" s="19"/>
      <c r="E930" s="19"/>
      <c r="F930" s="19"/>
      <c r="G930" s="19"/>
      <c r="H930" s="19"/>
      <c r="I930" s="19"/>
      <c r="J930" s="19"/>
      <c r="K930" s="19"/>
    </row>
    <row r="931">
      <c r="B931" s="19"/>
      <c r="C931" s="19"/>
      <c r="D931" s="19"/>
      <c r="E931" s="19"/>
      <c r="F931" s="19"/>
      <c r="G931" s="19"/>
      <c r="H931" s="19"/>
      <c r="I931" s="19"/>
      <c r="J931" s="19"/>
      <c r="K931" s="19"/>
    </row>
    <row r="932">
      <c r="B932" s="19"/>
      <c r="C932" s="19"/>
      <c r="D932" s="19"/>
      <c r="E932" s="19"/>
      <c r="F932" s="19"/>
      <c r="G932" s="19"/>
      <c r="H932" s="19"/>
      <c r="I932" s="19"/>
      <c r="J932" s="19"/>
      <c r="K932" s="19"/>
    </row>
    <row r="933">
      <c r="B933" s="19"/>
      <c r="C933" s="19"/>
      <c r="D933" s="19"/>
      <c r="E933" s="19"/>
      <c r="F933" s="19"/>
      <c r="G933" s="19"/>
      <c r="H933" s="19"/>
      <c r="I933" s="19"/>
      <c r="J933" s="19"/>
      <c r="K933" s="19"/>
    </row>
    <row r="934">
      <c r="B934" s="19"/>
      <c r="C934" s="19"/>
      <c r="D934" s="19"/>
      <c r="E934" s="19"/>
      <c r="F934" s="19"/>
      <c r="G934" s="19"/>
      <c r="H934" s="19"/>
      <c r="I934" s="19"/>
      <c r="J934" s="19"/>
      <c r="K934" s="19"/>
    </row>
    <row r="935">
      <c r="B935" s="19"/>
      <c r="C935" s="19"/>
      <c r="D935" s="19"/>
      <c r="E935" s="19"/>
      <c r="F935" s="19"/>
      <c r="G935" s="19"/>
      <c r="H935" s="19"/>
      <c r="I935" s="19"/>
      <c r="J935" s="19"/>
      <c r="K935" s="19"/>
    </row>
    <row r="936">
      <c r="B936" s="19"/>
      <c r="C936" s="19"/>
      <c r="D936" s="19"/>
      <c r="E936" s="19"/>
      <c r="F936" s="19"/>
      <c r="G936" s="19"/>
      <c r="H936" s="19"/>
      <c r="I936" s="19"/>
      <c r="J936" s="19"/>
      <c r="K936" s="19"/>
    </row>
    <row r="937">
      <c r="B937" s="19"/>
      <c r="C937" s="19"/>
      <c r="D937" s="19"/>
      <c r="E937" s="19"/>
      <c r="F937" s="19"/>
      <c r="G937" s="19"/>
      <c r="H937" s="19"/>
      <c r="I937" s="19"/>
      <c r="J937" s="19"/>
      <c r="K937" s="19"/>
    </row>
    <row r="938">
      <c r="B938" s="19"/>
      <c r="C938" s="19"/>
      <c r="D938" s="19"/>
      <c r="E938" s="19"/>
      <c r="F938" s="19"/>
      <c r="G938" s="19"/>
      <c r="H938" s="19"/>
      <c r="I938" s="19"/>
      <c r="J938" s="19"/>
      <c r="K938" s="19"/>
    </row>
    <row r="939">
      <c r="B939" s="19"/>
      <c r="C939" s="19"/>
      <c r="D939" s="19"/>
      <c r="E939" s="19"/>
      <c r="F939" s="19"/>
      <c r="G939" s="19"/>
      <c r="H939" s="19"/>
      <c r="I939" s="19"/>
      <c r="J939" s="19"/>
      <c r="K939" s="19"/>
    </row>
    <row r="940">
      <c r="B940" s="19"/>
      <c r="C940" s="19"/>
      <c r="D940" s="19"/>
      <c r="E940" s="19"/>
      <c r="F940" s="19"/>
      <c r="G940" s="19"/>
      <c r="H940" s="19"/>
      <c r="I940" s="19"/>
      <c r="J940" s="19"/>
      <c r="K940" s="19"/>
    </row>
    <row r="941">
      <c r="B941" s="19"/>
      <c r="C941" s="19"/>
      <c r="D941" s="19"/>
      <c r="E941" s="19"/>
      <c r="F941" s="19"/>
      <c r="G941" s="19"/>
      <c r="H941" s="19"/>
      <c r="I941" s="19"/>
      <c r="J941" s="19"/>
      <c r="K941" s="19"/>
    </row>
    <row r="942">
      <c r="B942" s="19"/>
      <c r="C942" s="19"/>
      <c r="D942" s="19"/>
      <c r="E942" s="19"/>
      <c r="F942" s="19"/>
      <c r="G942" s="19"/>
      <c r="H942" s="19"/>
      <c r="I942" s="19"/>
      <c r="J942" s="19"/>
      <c r="K942" s="19"/>
    </row>
    <row r="943">
      <c r="B943" s="19"/>
      <c r="C943" s="19"/>
      <c r="D943" s="19"/>
      <c r="E943" s="19"/>
      <c r="F943" s="19"/>
      <c r="G943" s="19"/>
      <c r="H943" s="19"/>
      <c r="I943" s="19"/>
      <c r="J943" s="19"/>
      <c r="K943" s="19"/>
    </row>
    <row r="944">
      <c r="B944" s="19"/>
      <c r="C944" s="19"/>
      <c r="D944" s="19"/>
      <c r="E944" s="19"/>
      <c r="F944" s="19"/>
      <c r="G944" s="19"/>
      <c r="H944" s="19"/>
      <c r="I944" s="19"/>
      <c r="J944" s="19"/>
      <c r="K944" s="19"/>
    </row>
    <row r="945">
      <c r="B945" s="19"/>
      <c r="C945" s="19"/>
      <c r="D945" s="19"/>
      <c r="E945" s="19"/>
      <c r="F945" s="19"/>
      <c r="G945" s="19"/>
      <c r="H945" s="19"/>
      <c r="I945" s="19"/>
      <c r="J945" s="19"/>
      <c r="K945" s="19"/>
    </row>
    <row r="946">
      <c r="B946" s="19"/>
      <c r="C946" s="19"/>
      <c r="D946" s="19"/>
      <c r="E946" s="19"/>
      <c r="F946" s="19"/>
      <c r="G946" s="19"/>
      <c r="H946" s="19"/>
      <c r="I946" s="19"/>
      <c r="J946" s="19"/>
      <c r="K946" s="19"/>
    </row>
    <row r="947">
      <c r="B947" s="19"/>
      <c r="C947" s="19"/>
      <c r="D947" s="19"/>
      <c r="E947" s="19"/>
      <c r="F947" s="19"/>
      <c r="G947" s="19"/>
      <c r="H947" s="19"/>
      <c r="I947" s="19"/>
      <c r="J947" s="19"/>
      <c r="K947" s="19"/>
    </row>
    <row r="948">
      <c r="B948" s="19"/>
      <c r="C948" s="19"/>
      <c r="D948" s="19"/>
      <c r="E948" s="19"/>
      <c r="F948" s="19"/>
      <c r="G948" s="19"/>
      <c r="H948" s="19"/>
      <c r="I948" s="19"/>
      <c r="J948" s="19"/>
      <c r="K948" s="19"/>
    </row>
    <row r="949">
      <c r="B949" s="19"/>
      <c r="C949" s="19"/>
      <c r="D949" s="19"/>
      <c r="E949" s="19"/>
      <c r="F949" s="19"/>
      <c r="G949" s="19"/>
      <c r="H949" s="19"/>
      <c r="I949" s="19"/>
      <c r="J949" s="19"/>
      <c r="K949" s="19"/>
    </row>
    <row r="950">
      <c r="B950" s="19"/>
      <c r="C950" s="19"/>
      <c r="D950" s="19"/>
      <c r="E950" s="19"/>
      <c r="F950" s="19"/>
      <c r="G950" s="19"/>
      <c r="H950" s="19"/>
      <c r="I950" s="19"/>
      <c r="J950" s="19"/>
      <c r="K950" s="19"/>
    </row>
    <row r="951">
      <c r="B951" s="19"/>
      <c r="C951" s="19"/>
      <c r="D951" s="19"/>
      <c r="E951" s="19"/>
      <c r="F951" s="19"/>
      <c r="G951" s="19"/>
      <c r="H951" s="19"/>
      <c r="I951" s="19"/>
      <c r="J951" s="19"/>
      <c r="K951" s="19"/>
    </row>
    <row r="952">
      <c r="B952" s="19"/>
      <c r="C952" s="19"/>
      <c r="D952" s="19"/>
      <c r="E952" s="19"/>
      <c r="F952" s="19"/>
      <c r="G952" s="19"/>
      <c r="H952" s="19"/>
      <c r="I952" s="19"/>
      <c r="J952" s="19"/>
      <c r="K952" s="19"/>
    </row>
    <row r="953">
      <c r="B953" s="19"/>
      <c r="C953" s="19"/>
      <c r="D953" s="19"/>
      <c r="E953" s="19"/>
      <c r="F953" s="19"/>
      <c r="G953" s="19"/>
      <c r="H953" s="19"/>
      <c r="I953" s="19"/>
      <c r="J953" s="19"/>
      <c r="K953" s="19"/>
    </row>
    <row r="954">
      <c r="B954" s="19"/>
      <c r="C954" s="19"/>
      <c r="D954" s="19"/>
      <c r="E954" s="19"/>
      <c r="F954" s="19"/>
      <c r="G954" s="19"/>
      <c r="H954" s="19"/>
      <c r="I954" s="19"/>
      <c r="J954" s="19"/>
      <c r="K954" s="19"/>
    </row>
    <row r="955">
      <c r="B955" s="19"/>
      <c r="C955" s="19"/>
      <c r="D955" s="19"/>
      <c r="E955" s="19"/>
      <c r="F955" s="19"/>
      <c r="G955" s="19"/>
      <c r="H955" s="19"/>
      <c r="I955" s="19"/>
      <c r="J955" s="19"/>
      <c r="K955" s="19"/>
    </row>
    <row r="956">
      <c r="B956" s="19"/>
      <c r="C956" s="19"/>
      <c r="D956" s="19"/>
      <c r="E956" s="19"/>
      <c r="F956" s="19"/>
      <c r="G956" s="19"/>
      <c r="H956" s="19"/>
      <c r="I956" s="19"/>
      <c r="J956" s="19"/>
      <c r="K956" s="19"/>
    </row>
    <row r="957">
      <c r="B957" s="19"/>
      <c r="C957" s="19"/>
      <c r="D957" s="19"/>
      <c r="E957" s="19"/>
      <c r="F957" s="19"/>
      <c r="G957" s="19"/>
      <c r="H957" s="19"/>
      <c r="I957" s="19"/>
      <c r="J957" s="19"/>
      <c r="K957" s="19"/>
    </row>
    <row r="958">
      <c r="B958" s="19"/>
      <c r="C958" s="19"/>
      <c r="D958" s="19"/>
      <c r="E958" s="19"/>
      <c r="F958" s="19"/>
      <c r="G958" s="19"/>
      <c r="H958" s="19"/>
      <c r="I958" s="19"/>
      <c r="J958" s="19"/>
      <c r="K958" s="19"/>
    </row>
    <row r="959">
      <c r="B959" s="19"/>
      <c r="C959" s="19"/>
      <c r="D959" s="19"/>
      <c r="E959" s="19"/>
      <c r="F959" s="19"/>
      <c r="G959" s="19"/>
      <c r="H959" s="19"/>
      <c r="I959" s="19"/>
      <c r="J959" s="19"/>
      <c r="K959" s="19"/>
    </row>
    <row r="960">
      <c r="B960" s="19"/>
      <c r="C960" s="19"/>
      <c r="D960" s="19"/>
      <c r="E960" s="19"/>
      <c r="F960" s="19"/>
      <c r="G960" s="19"/>
      <c r="H960" s="19"/>
      <c r="I960" s="19"/>
      <c r="J960" s="19"/>
      <c r="K960" s="19"/>
    </row>
    <row r="961">
      <c r="B961" s="19"/>
      <c r="C961" s="19"/>
      <c r="D961" s="19"/>
      <c r="E961" s="19"/>
      <c r="F961" s="19"/>
      <c r="G961" s="19"/>
      <c r="H961" s="19"/>
      <c r="I961" s="19"/>
      <c r="J961" s="19"/>
      <c r="K961" s="19"/>
    </row>
    <row r="962">
      <c r="B962" s="19"/>
      <c r="C962" s="19"/>
      <c r="D962" s="19"/>
      <c r="E962" s="19"/>
      <c r="F962" s="19"/>
      <c r="G962" s="19"/>
      <c r="H962" s="19"/>
      <c r="I962" s="19"/>
      <c r="J962" s="19"/>
      <c r="K962" s="19"/>
    </row>
    <row r="963">
      <c r="B963" s="19"/>
      <c r="C963" s="19"/>
      <c r="D963" s="19"/>
      <c r="E963" s="19"/>
      <c r="F963" s="19"/>
      <c r="G963" s="19"/>
      <c r="H963" s="19"/>
      <c r="I963" s="19"/>
      <c r="J963" s="19"/>
      <c r="K963" s="19"/>
    </row>
    <row r="964">
      <c r="B964" s="19"/>
      <c r="C964" s="19"/>
      <c r="D964" s="19"/>
      <c r="E964" s="19"/>
      <c r="F964" s="19"/>
      <c r="G964" s="19"/>
      <c r="H964" s="19"/>
      <c r="I964" s="19"/>
      <c r="J964" s="19"/>
      <c r="K964" s="19"/>
    </row>
    <row r="965">
      <c r="B965" s="19"/>
      <c r="C965" s="19"/>
      <c r="D965" s="19"/>
      <c r="E965" s="19"/>
      <c r="F965" s="19"/>
      <c r="G965" s="19"/>
      <c r="H965" s="19"/>
      <c r="I965" s="19"/>
      <c r="J965" s="19"/>
      <c r="K965" s="19"/>
    </row>
    <row r="966">
      <c r="B966" s="19"/>
      <c r="C966" s="19"/>
      <c r="D966" s="19"/>
      <c r="E966" s="19"/>
      <c r="F966" s="19"/>
      <c r="G966" s="19"/>
      <c r="H966" s="19"/>
      <c r="I966" s="19"/>
      <c r="J966" s="19"/>
      <c r="K966" s="19"/>
    </row>
    <row r="967">
      <c r="B967" s="19"/>
      <c r="C967" s="19"/>
      <c r="D967" s="19"/>
      <c r="E967" s="19"/>
      <c r="F967" s="19"/>
      <c r="G967" s="19"/>
      <c r="H967" s="19"/>
      <c r="I967" s="19"/>
      <c r="J967" s="19"/>
      <c r="K967" s="19"/>
    </row>
    <row r="968">
      <c r="B968" s="19"/>
      <c r="C968" s="19"/>
      <c r="D968" s="19"/>
      <c r="E968" s="19"/>
      <c r="F968" s="19"/>
      <c r="G968" s="19"/>
      <c r="H968" s="19"/>
      <c r="I968" s="19"/>
      <c r="J968" s="19"/>
      <c r="K968" s="19"/>
    </row>
    <row r="969">
      <c r="B969" s="19"/>
      <c r="C969" s="19"/>
      <c r="D969" s="19"/>
      <c r="E969" s="19"/>
      <c r="F969" s="19"/>
      <c r="G969" s="19"/>
      <c r="H969" s="19"/>
      <c r="I969" s="19"/>
      <c r="J969" s="19"/>
      <c r="K969" s="19"/>
    </row>
    <row r="970">
      <c r="B970" s="19"/>
      <c r="C970" s="19"/>
      <c r="D970" s="19"/>
      <c r="E970" s="19"/>
      <c r="F970" s="19"/>
      <c r="G970" s="19"/>
      <c r="H970" s="19"/>
      <c r="I970" s="19"/>
      <c r="J970" s="19"/>
      <c r="K970" s="19"/>
    </row>
    <row r="971">
      <c r="B971" s="19"/>
      <c r="C971" s="19"/>
      <c r="D971" s="19"/>
      <c r="E971" s="19"/>
      <c r="F971" s="19"/>
      <c r="G971" s="19"/>
      <c r="H971" s="19"/>
      <c r="I971" s="19"/>
      <c r="J971" s="19"/>
      <c r="K971" s="19"/>
    </row>
    <row r="972">
      <c r="B972" s="19"/>
      <c r="C972" s="19"/>
      <c r="D972" s="19"/>
      <c r="E972" s="19"/>
      <c r="F972" s="19"/>
      <c r="G972" s="19"/>
      <c r="H972" s="19"/>
      <c r="I972" s="19"/>
      <c r="J972" s="19"/>
      <c r="K972" s="19"/>
    </row>
    <row r="973">
      <c r="B973" s="19"/>
      <c r="C973" s="19"/>
      <c r="D973" s="19"/>
      <c r="E973" s="19"/>
      <c r="F973" s="19"/>
      <c r="G973" s="19"/>
      <c r="H973" s="19"/>
      <c r="I973" s="19"/>
      <c r="J973" s="19"/>
      <c r="K973" s="19"/>
    </row>
    <row r="974">
      <c r="B974" s="19"/>
      <c r="C974" s="19"/>
      <c r="D974" s="19"/>
      <c r="E974" s="19"/>
      <c r="F974" s="19"/>
      <c r="G974" s="19"/>
      <c r="H974" s="19"/>
      <c r="I974" s="19"/>
      <c r="J974" s="19"/>
      <c r="K974" s="19"/>
    </row>
    <row r="975">
      <c r="B975" s="19"/>
      <c r="C975" s="19"/>
      <c r="D975" s="19"/>
      <c r="E975" s="19"/>
      <c r="F975" s="19"/>
      <c r="G975" s="19"/>
      <c r="H975" s="19"/>
      <c r="I975" s="19"/>
      <c r="J975" s="19"/>
      <c r="K975" s="19"/>
    </row>
    <row r="976">
      <c r="B976" s="19"/>
      <c r="C976" s="19"/>
      <c r="D976" s="19"/>
      <c r="E976" s="19"/>
      <c r="F976" s="19"/>
      <c r="G976" s="19"/>
      <c r="H976" s="19"/>
      <c r="I976" s="19"/>
      <c r="J976" s="19"/>
      <c r="K976" s="19"/>
    </row>
    <row r="977">
      <c r="B977" s="19"/>
      <c r="C977" s="19"/>
      <c r="D977" s="19"/>
      <c r="E977" s="19"/>
      <c r="F977" s="19"/>
      <c r="G977" s="19"/>
      <c r="H977" s="19"/>
      <c r="I977" s="19"/>
      <c r="J977" s="19"/>
      <c r="K977" s="19"/>
    </row>
    <row r="978">
      <c r="B978" s="19"/>
      <c r="C978" s="19"/>
      <c r="D978" s="19"/>
      <c r="E978" s="19"/>
      <c r="F978" s="19"/>
      <c r="G978" s="19"/>
      <c r="H978" s="19"/>
      <c r="I978" s="19"/>
      <c r="J978" s="19"/>
      <c r="K978" s="19"/>
    </row>
    <row r="979">
      <c r="B979" s="19"/>
      <c r="C979" s="19"/>
      <c r="D979" s="19"/>
      <c r="E979" s="19"/>
      <c r="F979" s="19"/>
      <c r="G979" s="19"/>
      <c r="H979" s="19"/>
      <c r="I979" s="19"/>
      <c r="J979" s="19"/>
      <c r="K979" s="19"/>
    </row>
    <row r="980">
      <c r="B980" s="19"/>
      <c r="C980" s="19"/>
      <c r="D980" s="19"/>
      <c r="E980" s="19"/>
      <c r="F980" s="19"/>
      <c r="G980" s="19"/>
      <c r="H980" s="19"/>
      <c r="I980" s="19"/>
      <c r="J980" s="19"/>
      <c r="K980" s="19"/>
    </row>
    <row r="981">
      <c r="B981" s="19"/>
      <c r="C981" s="19"/>
      <c r="D981" s="19"/>
      <c r="E981" s="19"/>
      <c r="F981" s="19"/>
      <c r="G981" s="19"/>
      <c r="H981" s="19"/>
      <c r="I981" s="19"/>
      <c r="J981" s="19"/>
      <c r="K981" s="19"/>
    </row>
    <row r="982">
      <c r="B982" s="19"/>
      <c r="C982" s="19"/>
      <c r="D982" s="19"/>
      <c r="E982" s="19"/>
      <c r="F982" s="19"/>
      <c r="G982" s="19"/>
      <c r="H982" s="19"/>
      <c r="I982" s="19"/>
      <c r="J982" s="19"/>
      <c r="K982" s="19"/>
    </row>
    <row r="983">
      <c r="B983" s="19"/>
      <c r="C983" s="19"/>
      <c r="D983" s="19"/>
      <c r="E983" s="19"/>
      <c r="F983" s="19"/>
      <c r="G983" s="19"/>
      <c r="H983" s="19"/>
      <c r="I983" s="19"/>
      <c r="J983" s="19"/>
      <c r="K983" s="19"/>
    </row>
    <row r="984">
      <c r="B984" s="19"/>
      <c r="C984" s="19"/>
      <c r="D984" s="19"/>
      <c r="E984" s="19"/>
      <c r="F984" s="19"/>
      <c r="G984" s="19"/>
      <c r="H984" s="19"/>
      <c r="I984" s="19"/>
      <c r="J984" s="19"/>
      <c r="K984" s="19"/>
    </row>
    <row r="985">
      <c r="B985" s="19"/>
      <c r="C985" s="19"/>
      <c r="D985" s="19"/>
      <c r="E985" s="19"/>
      <c r="F985" s="19"/>
      <c r="G985" s="19"/>
      <c r="H985" s="19"/>
      <c r="I985" s="19"/>
      <c r="J985" s="19"/>
      <c r="K985" s="19"/>
    </row>
    <row r="986">
      <c r="B986" s="19"/>
      <c r="C986" s="19"/>
      <c r="D986" s="19"/>
      <c r="E986" s="19"/>
      <c r="F986" s="19"/>
      <c r="G986" s="19"/>
      <c r="H986" s="19"/>
      <c r="I986" s="19"/>
      <c r="J986" s="19"/>
      <c r="K986" s="19"/>
    </row>
    <row r="987">
      <c r="B987" s="19"/>
      <c r="C987" s="19"/>
      <c r="D987" s="19"/>
      <c r="E987" s="19"/>
      <c r="F987" s="19"/>
      <c r="G987" s="19"/>
      <c r="H987" s="19"/>
      <c r="I987" s="19"/>
      <c r="J987" s="19"/>
      <c r="K987" s="19"/>
    </row>
    <row r="988">
      <c r="B988" s="19"/>
      <c r="C988" s="19"/>
      <c r="D988" s="19"/>
      <c r="E988" s="19"/>
      <c r="F988" s="19"/>
      <c r="G988" s="19"/>
      <c r="H988" s="19"/>
      <c r="I988" s="19"/>
      <c r="J988" s="19"/>
      <c r="K988" s="19"/>
    </row>
    <row r="989">
      <c r="B989" s="19"/>
      <c r="C989" s="19"/>
      <c r="D989" s="19"/>
      <c r="E989" s="19"/>
      <c r="F989" s="19"/>
      <c r="G989" s="19"/>
      <c r="H989" s="19"/>
      <c r="I989" s="19"/>
      <c r="J989" s="19"/>
      <c r="K989" s="19"/>
    </row>
    <row r="990">
      <c r="B990" s="19"/>
      <c r="C990" s="19"/>
      <c r="D990" s="19"/>
      <c r="E990" s="19"/>
      <c r="F990" s="19"/>
      <c r="G990" s="19"/>
      <c r="H990" s="19"/>
      <c r="I990" s="19"/>
      <c r="J990" s="19"/>
      <c r="K990" s="19"/>
    </row>
    <row r="991">
      <c r="B991" s="19"/>
      <c r="C991" s="19"/>
      <c r="D991" s="19"/>
      <c r="E991" s="19"/>
      <c r="F991" s="19"/>
      <c r="G991" s="19"/>
      <c r="H991" s="19"/>
      <c r="I991" s="19"/>
      <c r="J991" s="19"/>
      <c r="K991" s="19"/>
    </row>
    <row r="992">
      <c r="B992" s="19"/>
      <c r="C992" s="19"/>
      <c r="D992" s="19"/>
      <c r="E992" s="19"/>
      <c r="F992" s="19"/>
      <c r="G992" s="19"/>
      <c r="H992" s="19"/>
      <c r="I992" s="19"/>
      <c r="J992" s="19"/>
      <c r="K992" s="19"/>
    </row>
    <row r="993">
      <c r="B993" s="19"/>
      <c r="C993" s="19"/>
      <c r="D993" s="19"/>
      <c r="E993" s="19"/>
      <c r="F993" s="19"/>
      <c r="G993" s="19"/>
      <c r="H993" s="19"/>
      <c r="I993" s="19"/>
      <c r="J993" s="19"/>
      <c r="K993" s="19"/>
    </row>
    <row r="994">
      <c r="B994" s="19"/>
      <c r="C994" s="19"/>
      <c r="D994" s="19"/>
      <c r="E994" s="19"/>
      <c r="F994" s="19"/>
      <c r="G994" s="19"/>
      <c r="H994" s="19"/>
      <c r="I994" s="19"/>
      <c r="J994" s="19"/>
      <c r="K994" s="19"/>
    </row>
    <row r="995">
      <c r="B995" s="19"/>
      <c r="C995" s="19"/>
      <c r="D995" s="19"/>
      <c r="E995" s="19"/>
      <c r="F995" s="19"/>
      <c r="G995" s="19"/>
      <c r="H995" s="19"/>
      <c r="I995" s="19"/>
      <c r="J995" s="19"/>
      <c r="K995" s="19"/>
    </row>
    <row r="996">
      <c r="B996" s="19"/>
      <c r="C996" s="19"/>
      <c r="D996" s="19"/>
      <c r="E996" s="19"/>
      <c r="F996" s="19"/>
      <c r="G996" s="19"/>
      <c r="H996" s="19"/>
      <c r="I996" s="19"/>
      <c r="J996" s="19"/>
      <c r="K996" s="19"/>
    </row>
    <row r="997">
      <c r="B997" s="19"/>
      <c r="C997" s="19"/>
      <c r="D997" s="19"/>
      <c r="E997" s="19"/>
      <c r="F997" s="19"/>
      <c r="G997" s="19"/>
      <c r="H997" s="19"/>
      <c r="I997" s="19"/>
      <c r="J997" s="19"/>
      <c r="K997" s="19"/>
    </row>
    <row r="998">
      <c r="B998" s="19"/>
      <c r="C998" s="19"/>
      <c r="D998" s="19"/>
      <c r="E998" s="19"/>
      <c r="F998" s="19"/>
      <c r="G998" s="19"/>
      <c r="H998" s="19"/>
      <c r="I998" s="19"/>
      <c r="J998" s="19"/>
      <c r="K998" s="19"/>
    </row>
    <row r="999">
      <c r="B999" s="19"/>
      <c r="C999" s="19"/>
      <c r="D999" s="19"/>
      <c r="E999" s="19"/>
      <c r="F999" s="19"/>
      <c r="G999" s="19"/>
      <c r="H999" s="19"/>
      <c r="I999" s="19"/>
      <c r="J999" s="19"/>
      <c r="K999" s="19"/>
    </row>
    <row r="1000"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</row>
  </sheetData>
  <dataValidations>
    <dataValidation type="list" allowBlank="1" sqref="C2:C12">
      <formula1>"Crítica,Alta,Media,Baja"</formula1>
    </dataValidation>
    <dataValidation type="list" allowBlank="1" sqref="I2:I12">
      <formula1>"✅ Passed,⚠️ Blocked,❌ Failed"</formula1>
    </dataValidation>
  </dataValidations>
  <drawing r:id="rId1"/>
  <tableParts count="1">
    <tablePart r:id="rId3"/>
  </tableParts>
</worksheet>
</file>